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showInkAnnotation="0" hidePivotFieldList="1" autoCompressPictures="0"/>
  <xr:revisionPtr revIDLastSave="258" documentId="11_C6BD85F57DF63D582691CFA76D8943285085D423" xr6:coauthVersionLast="47" xr6:coauthVersionMax="47" xr10:uidLastSave="{B38E1ABA-E4AC-47DC-BBC6-0EEE0FABA0F2}"/>
  <bookViews>
    <workbookView xWindow="0" yWindow="0" windowWidth="0" windowHeight="0" xr2:uid="{00000000-000D-0000-FFFF-FFFF00000000}"/>
  </bookViews>
  <sheets>
    <sheet name="Base_Vendas" sheetId="1" r:id="rId1"/>
    <sheet name="Produtos" sheetId="2" r:id="rId2"/>
    <sheet name="Analise_Formulas" sheetId="3" r:id="rId3"/>
    <sheet name="Analise_TB_Dinamica" sheetId="5" r:id="rId4"/>
    <sheet name="Gráficos" sheetId="6" r:id="rId5"/>
  </sheets>
  <calcPr calcId="191028" refMode="R1C1" iterateCount="0" calcOnSave="0" concurrentCalc="0"/>
  <pivotCaches>
    <pivotCache cacheId="6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C11" i="3"/>
  <c r="C12" i="3"/>
  <c r="C13" i="3"/>
  <c r="C10" i="3"/>
  <c r="C4" i="3"/>
  <c r="C5" i="3"/>
  <c r="C6" i="3"/>
  <c r="C3" i="3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C18" i="3" l="1"/>
  <c r="C19" i="3"/>
  <c r="C17" i="3"/>
  <c r="N61" i="1"/>
  <c r="O61" i="1"/>
  <c r="P61" i="1" s="1"/>
  <c r="N60" i="1"/>
  <c r="O60" i="1"/>
  <c r="P60" i="1" s="1"/>
  <c r="N59" i="1"/>
  <c r="O59" i="1"/>
  <c r="P59" i="1" s="1"/>
  <c r="N58" i="1"/>
  <c r="O58" i="1"/>
  <c r="P58" i="1" s="1"/>
  <c r="N57" i="1"/>
  <c r="O57" i="1"/>
  <c r="P57" i="1" s="1"/>
  <c r="N56" i="1"/>
  <c r="O56" i="1"/>
  <c r="P56" i="1" s="1"/>
  <c r="N55" i="1"/>
  <c r="O55" i="1"/>
  <c r="P55" i="1" s="1"/>
  <c r="N54" i="1"/>
  <c r="O54" i="1"/>
  <c r="P54" i="1" s="1"/>
  <c r="N53" i="1"/>
  <c r="O53" i="1"/>
  <c r="P53" i="1" s="1"/>
  <c r="N52" i="1"/>
  <c r="O52" i="1"/>
  <c r="P52" i="1" s="1"/>
  <c r="N51" i="1"/>
  <c r="O51" i="1"/>
  <c r="P51" i="1" s="1"/>
  <c r="N50" i="1"/>
  <c r="O50" i="1"/>
  <c r="P50" i="1" s="1"/>
  <c r="N49" i="1"/>
  <c r="O49" i="1"/>
  <c r="P49" i="1" s="1"/>
  <c r="N48" i="1"/>
  <c r="O48" i="1"/>
  <c r="P48" i="1" s="1"/>
  <c r="N47" i="1"/>
  <c r="O47" i="1"/>
  <c r="P47" i="1" s="1"/>
  <c r="N46" i="1"/>
  <c r="O46" i="1"/>
  <c r="P46" i="1" s="1"/>
  <c r="N45" i="1"/>
  <c r="O45" i="1"/>
  <c r="P45" i="1" s="1"/>
  <c r="N44" i="1"/>
  <c r="O44" i="1"/>
  <c r="P44" i="1" s="1"/>
  <c r="N43" i="1"/>
  <c r="O43" i="1"/>
  <c r="P43" i="1" s="1"/>
  <c r="N42" i="1"/>
  <c r="O42" i="1"/>
  <c r="P42" i="1" s="1"/>
  <c r="N41" i="1"/>
  <c r="O41" i="1"/>
  <c r="P41" i="1" s="1"/>
  <c r="N40" i="1"/>
  <c r="O40" i="1"/>
  <c r="P40" i="1" s="1"/>
  <c r="N39" i="1"/>
  <c r="O39" i="1"/>
  <c r="P39" i="1" s="1"/>
  <c r="N38" i="1"/>
  <c r="O38" i="1"/>
  <c r="P38" i="1" s="1"/>
  <c r="N37" i="1"/>
  <c r="O37" i="1"/>
  <c r="P37" i="1" s="1"/>
  <c r="N36" i="1"/>
  <c r="O36" i="1"/>
  <c r="P36" i="1" s="1"/>
  <c r="N35" i="1"/>
  <c r="O35" i="1"/>
  <c r="P35" i="1" s="1"/>
  <c r="N34" i="1"/>
  <c r="O34" i="1"/>
  <c r="P34" i="1" s="1"/>
  <c r="N33" i="1"/>
  <c r="O33" i="1"/>
  <c r="P33" i="1" s="1"/>
  <c r="N32" i="1"/>
  <c r="O32" i="1"/>
  <c r="P32" i="1" s="1"/>
  <c r="N31" i="1"/>
  <c r="O31" i="1"/>
  <c r="P31" i="1" s="1"/>
  <c r="N30" i="1"/>
  <c r="O30" i="1"/>
  <c r="P30" i="1" s="1"/>
  <c r="N29" i="1"/>
  <c r="O29" i="1"/>
  <c r="P29" i="1" s="1"/>
  <c r="N28" i="1"/>
  <c r="O28" i="1"/>
  <c r="P28" i="1" s="1"/>
  <c r="N27" i="1"/>
  <c r="O27" i="1"/>
  <c r="P27" i="1" s="1"/>
  <c r="N26" i="1"/>
  <c r="O26" i="1"/>
  <c r="P26" i="1" s="1"/>
  <c r="N25" i="1"/>
  <c r="O25" i="1"/>
  <c r="P25" i="1" s="1"/>
  <c r="N24" i="1"/>
  <c r="O24" i="1"/>
  <c r="P24" i="1" s="1"/>
  <c r="N23" i="1"/>
  <c r="O23" i="1"/>
  <c r="P23" i="1" s="1"/>
  <c r="N22" i="1"/>
  <c r="O22" i="1"/>
  <c r="P22" i="1" s="1"/>
  <c r="N21" i="1"/>
  <c r="O21" i="1"/>
  <c r="P21" i="1" s="1"/>
  <c r="N20" i="1"/>
  <c r="O20" i="1"/>
  <c r="P20" i="1" s="1"/>
  <c r="N19" i="1"/>
  <c r="O19" i="1"/>
  <c r="P19" i="1" s="1"/>
  <c r="N18" i="1"/>
  <c r="O18" i="1"/>
  <c r="P18" i="1" s="1"/>
  <c r="N17" i="1"/>
  <c r="O17" i="1"/>
  <c r="P17" i="1" s="1"/>
  <c r="N16" i="1"/>
  <c r="O16" i="1"/>
  <c r="P16" i="1" s="1"/>
  <c r="N15" i="1"/>
  <c r="O15" i="1"/>
  <c r="P15" i="1" s="1"/>
  <c r="N14" i="1"/>
  <c r="O14" i="1"/>
  <c r="P14" i="1" s="1"/>
  <c r="N13" i="1"/>
  <c r="O13" i="1"/>
  <c r="P13" i="1" s="1"/>
  <c r="N12" i="1"/>
  <c r="O12" i="1"/>
  <c r="N11" i="1"/>
  <c r="O11" i="1"/>
  <c r="P11" i="1" s="1"/>
  <c r="N10" i="1"/>
  <c r="O10" i="1"/>
  <c r="P10" i="1" s="1"/>
  <c r="N9" i="1"/>
  <c r="O9" i="1"/>
  <c r="P9" i="1" s="1"/>
  <c r="N8" i="1"/>
  <c r="O8" i="1"/>
  <c r="P8" i="1" s="1"/>
  <c r="N7" i="1"/>
  <c r="O7" i="1"/>
  <c r="P7" i="1" s="1"/>
  <c r="N6" i="1"/>
  <c r="O6" i="1"/>
  <c r="N5" i="1"/>
  <c r="O5" i="1"/>
  <c r="N4" i="1"/>
  <c r="O4" i="1"/>
  <c r="N3" i="1"/>
  <c r="O3" i="1"/>
  <c r="N2" i="1"/>
  <c r="O2" i="1"/>
  <c r="P2" i="1" l="1"/>
  <c r="B10" i="3"/>
  <c r="B3" i="3"/>
  <c r="B17" i="3"/>
  <c r="P3" i="1"/>
  <c r="B11" i="3"/>
  <c r="B4" i="3"/>
  <c r="P4" i="1"/>
  <c r="B18" i="3"/>
  <c r="P5" i="1"/>
  <c r="B19" i="3"/>
  <c r="P6" i="1"/>
  <c r="B12" i="3"/>
  <c r="B5" i="3"/>
  <c r="P12" i="1"/>
  <c r="B13" i="3"/>
  <c r="B6" i="3"/>
</calcChain>
</file>

<file path=xl/sharedStrings.xml><?xml version="1.0" encoding="utf-8"?>
<sst xmlns="http://schemas.openxmlformats.org/spreadsheetml/2006/main" count="390" uniqueCount="116">
  <si>
    <t>Data</t>
  </si>
  <si>
    <t>Mês</t>
  </si>
  <si>
    <t>ID_Venda</t>
  </si>
  <si>
    <t>Vendedor</t>
  </si>
  <si>
    <t>Regiao</t>
  </si>
  <si>
    <t>Canal</t>
  </si>
  <si>
    <t>SKU</t>
  </si>
  <si>
    <t>Quantidade</t>
  </si>
  <si>
    <t>Desconto_Pct</t>
  </si>
  <si>
    <t>Produto</t>
  </si>
  <si>
    <t>Categoria</t>
  </si>
  <si>
    <t>Preco_Unitario</t>
  </si>
  <si>
    <t>Faturamento_Bruto</t>
  </si>
  <si>
    <t>Valor_Desconto</t>
  </si>
  <si>
    <t>Faturamento_Liquido</t>
  </si>
  <si>
    <t>Faixa_Venda</t>
  </si>
  <si>
    <t>V0008</t>
  </si>
  <si>
    <t>Diego</t>
  </si>
  <si>
    <t>Sul</t>
  </si>
  <si>
    <t>Parceiro</t>
  </si>
  <si>
    <t>P002</t>
  </si>
  <si>
    <t>V0051</t>
  </si>
  <si>
    <t>Carla</t>
  </si>
  <si>
    <t>Nordeste</t>
  </si>
  <si>
    <t>Loja</t>
  </si>
  <si>
    <t>P001</t>
  </si>
  <si>
    <t>V0023</t>
  </si>
  <si>
    <t>P003</t>
  </si>
  <si>
    <t>V0012</t>
  </si>
  <si>
    <t>P006</t>
  </si>
  <si>
    <t>V0042</t>
  </si>
  <si>
    <t>Bruno</t>
  </si>
  <si>
    <t>Centro-Oeste</t>
  </si>
  <si>
    <t>V0024</t>
  </si>
  <si>
    <t>V0015</t>
  </si>
  <si>
    <t>V0052</t>
  </si>
  <si>
    <t>Online</t>
  </si>
  <si>
    <t>V0016</t>
  </si>
  <si>
    <t>V0043</t>
  </si>
  <si>
    <t>V0005</t>
  </si>
  <si>
    <t>Ana</t>
  </si>
  <si>
    <t>Sudeste</t>
  </si>
  <si>
    <t>V0030</t>
  </si>
  <si>
    <t>V0056</t>
  </si>
  <si>
    <t>V0010</t>
  </si>
  <si>
    <t>V0041</t>
  </si>
  <si>
    <t>V0027</t>
  </si>
  <si>
    <t>V0039</t>
  </si>
  <si>
    <t>V0025</t>
  </si>
  <si>
    <t>V0046</t>
  </si>
  <si>
    <t>P005</t>
  </si>
  <si>
    <t>V0054</t>
  </si>
  <si>
    <t>V0007</t>
  </si>
  <si>
    <t>P004</t>
  </si>
  <si>
    <t>V0049</t>
  </si>
  <si>
    <t>V0002</t>
  </si>
  <si>
    <t>V0055</t>
  </si>
  <si>
    <t>V0060</t>
  </si>
  <si>
    <t>V0037</t>
  </si>
  <si>
    <t>V0009</t>
  </si>
  <si>
    <t>V0017</t>
  </si>
  <si>
    <t>V0011</t>
  </si>
  <si>
    <t>V0029</t>
  </si>
  <si>
    <t>V0018</t>
  </si>
  <si>
    <t>V0013</t>
  </si>
  <si>
    <t>V0032</t>
  </si>
  <si>
    <t>V0047</t>
  </si>
  <si>
    <t>V0059</t>
  </si>
  <si>
    <t>V0057</t>
  </si>
  <si>
    <t>V0036</t>
  </si>
  <si>
    <t>V0021</t>
  </si>
  <si>
    <t>V0053</t>
  </si>
  <si>
    <t>V0048</t>
  </si>
  <si>
    <t>V0033</t>
  </si>
  <si>
    <t>V0020</t>
  </si>
  <si>
    <t>V0044</t>
  </si>
  <si>
    <t>V0045</t>
  </si>
  <si>
    <t>V0006</t>
  </si>
  <si>
    <t>V0028</t>
  </si>
  <si>
    <t>V0050</t>
  </si>
  <si>
    <t>V0004</t>
  </si>
  <si>
    <t>V0040</t>
  </si>
  <si>
    <t>V0014</t>
  </si>
  <si>
    <t>V0031</t>
  </si>
  <si>
    <t>V0038</t>
  </si>
  <si>
    <t>V0001</t>
  </si>
  <si>
    <t>V0026</t>
  </si>
  <si>
    <t>V0035</t>
  </si>
  <si>
    <t>V0058</t>
  </si>
  <si>
    <t>V0003</t>
  </si>
  <si>
    <t>V0019</t>
  </si>
  <si>
    <t>V0034</t>
  </si>
  <si>
    <t>V0022</t>
  </si>
  <si>
    <t>Notebook Basic</t>
  </si>
  <si>
    <t>Informática</t>
  </si>
  <si>
    <t>Monitor 24</t>
  </si>
  <si>
    <t>Headset Pro</t>
  </si>
  <si>
    <t>Acessórios</t>
  </si>
  <si>
    <t>Mouse Wireless</t>
  </si>
  <si>
    <t>Cadeira Office</t>
  </si>
  <si>
    <t>Escritório</t>
  </si>
  <si>
    <t>Mesa Compacta</t>
  </si>
  <si>
    <t>Faturamento por Região</t>
  </si>
  <si>
    <t>Região</t>
  </si>
  <si>
    <t>Valor</t>
  </si>
  <si>
    <t>QTD</t>
  </si>
  <si>
    <t>Faturamento dos Vendedores</t>
  </si>
  <si>
    <t>Faturamento por Categoria</t>
  </si>
  <si>
    <t>Soma de Faturamento_Liquido</t>
  </si>
  <si>
    <t>Total Geral</t>
  </si>
  <si>
    <t>JANEIRO</t>
  </si>
  <si>
    <t>FEVEREIRO</t>
  </si>
  <si>
    <t>MARÇO</t>
  </si>
  <si>
    <t>ABRIL</t>
  </si>
  <si>
    <t>JUNHO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</si>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</sst>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_-[$R$-416]\ * #,##0.00_-;\-[$R$-416]\ * #,##0.00_-;_-[$R$-416]\ * &quot;-&quot;??_-;_-@_-"/>
    <numFmt numFmtId="166" formatCode="[$-416]mmm\-yy;@"/>
  </numFmts>
  <fonts count="4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2" fillId="3" borderId="0" xfId="0" applyFont="1" applyFill="1" applyAlignment="1">
      <alignment horizontal="center"/>
    </xf>
    <xf numFmtId="0" fontId="0" fillId="4" borderId="0" xfId="0" applyFill="1"/>
    <xf numFmtId="165" fontId="0" fillId="4" borderId="0" xfId="0" applyNumberFormat="1" applyFill="1"/>
    <xf numFmtId="0" fontId="3" fillId="4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 pivotButton="1"/>
    <xf numFmtId="14" fontId="0" fillId="0" borderId="0" xfId="0" applyNumberFormat="1"/>
    <xf numFmtId="14" fontId="0" fillId="0" borderId="1" xfId="0" applyNumberFormat="1" applyFont="1" applyFill="1" applyBorder="1" applyAlignment="1">
      <alignment horizontal="center"/>
    </xf>
    <xf numFmtId="166" fontId="0" fillId="0" borderId="1" xfId="0" applyNumberFormat="1" applyFont="1" applyFill="1" applyBorder="1" applyAlignment="1">
      <alignment horizontal="center"/>
    </xf>
    <xf numFmtId="9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/>
  </cellXfs>
  <cellStyles count="1">
    <cellStyle name="Normal" xfId="0" builtinId="0"/>
  </cellStyles>
  <dxfs count="18">
    <dxf>
      <numFmt numFmtId="0" formatCode="General"/>
      <alignment horizontal="center"/>
    </dxf>
    <dxf>
      <numFmt numFmtId="165" formatCode="_-[$R$-416]\ * #,##0.00_-;\-[$R$-416]\ * #,##0.00_-;_-[$R$-416]\ * &quot;-&quot;??_-;_-@_-"/>
      <alignment horizontal="center"/>
    </dxf>
    <dxf>
      <numFmt numFmtId="165" formatCode="_-[$R$-416]\ * #,##0.00_-;\-[$R$-416]\ * #,##0.00_-;_-[$R$-416]\ * &quot;-&quot;??_-;_-@_-"/>
      <alignment horizontal="center"/>
    </dxf>
    <dxf>
      <numFmt numFmtId="165" formatCode="_-[$R$-416]\ * #,##0.00_-;\-[$R$-416]\ * #,##0.00_-;_-[$R$-416]\ * &quot;-&quot;??_-;_-@_-"/>
      <alignment horizontal="center"/>
    </dxf>
    <dxf>
      <numFmt numFmtId="165" formatCode="_-[$R$-416]\ * #,##0.00_-;\-[$R$-416]\ * #,##0.00_-;_-[$R$-416]\ * &quot;-&quot;??_-;_-@_-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[$-416]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[Projeto_Portfolio_Excel_Base - Copia.xlsx]Analise_TB_Dinamica!Tabela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Analise_TB_Dinamica!$B$1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Analise_TB_Dinamica!$A$2:$A$6</c:f>
              <c:strCache>
                <c:ptCount val="4"/>
                <c:pt idx="0">
                  <c:v>Centro-Oeste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</c:strCache>
            </c:strRef>
          </c:cat>
          <c:val>
            <c:numRef>
              <c:f>Analise_TB_Dinamica!$B$2:$B$6</c:f>
              <c:numCache>
                <c:formatCode>_-[$R$-416]\ * #,##0.00_-;\-[$R$-416]\ * #,##0.00_-;_-[$R$-416]\ * "-"??_-;_-@_-</c:formatCode>
                <c:ptCount val="4"/>
                <c:pt idx="0">
                  <c:v>31924</c:v>
                </c:pt>
                <c:pt idx="1">
                  <c:v>26193.5</c:v>
                </c:pt>
                <c:pt idx="2">
                  <c:v>38326.5</c:v>
                </c:pt>
                <c:pt idx="3">
                  <c:v>37318.25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4-4C67-BE9D-8B9394872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631879"/>
        <c:axId val="463633927"/>
      </c:barChart>
      <c:catAx>
        <c:axId val="463631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633927"/>
        <c:crosses val="autoZero"/>
        <c:auto val="1"/>
        <c:lblAlgn val="ctr"/>
        <c:lblOffset val="100"/>
        <c:noMultiLvlLbl val="0"/>
      </c:catAx>
      <c:valAx>
        <c:axId val="463633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631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[Projeto_Portfolio_Excel_Base - Copia.xlsx]Analise_TB_Dinamica!Tabela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Analise_TB_Dinamica!$B$8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B3E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Analise_TB_Dinamica!$A$9:$A$13</c:f>
              <c:strCache>
                <c:ptCount val="4"/>
                <c:pt idx="0">
                  <c:v>Ana</c:v>
                </c:pt>
                <c:pt idx="1">
                  <c:v>Bruno</c:v>
                </c:pt>
                <c:pt idx="2">
                  <c:v>Carla</c:v>
                </c:pt>
                <c:pt idx="3">
                  <c:v>Diego</c:v>
                </c:pt>
              </c:strCache>
            </c:strRef>
          </c:cat>
          <c:val>
            <c:numRef>
              <c:f>Analise_TB_Dinamica!$B$9:$B$13</c:f>
              <c:numCache>
                <c:formatCode>_-[$R$-416]\ * #,##0.00_-;\-[$R$-416]\ * #,##0.00_-;_-[$R$-416]\ * "-"??_-;_-@_-</c:formatCode>
                <c:ptCount val="4"/>
                <c:pt idx="0">
                  <c:v>38326.5</c:v>
                </c:pt>
                <c:pt idx="1">
                  <c:v>31924</c:v>
                </c:pt>
                <c:pt idx="2">
                  <c:v>26193.5</c:v>
                </c:pt>
                <c:pt idx="3">
                  <c:v>37318.25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B-4A9A-8C52-5490D0BD9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8637319"/>
        <c:axId val="458639367"/>
      </c:barChart>
      <c:catAx>
        <c:axId val="458637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39367"/>
        <c:crosses val="autoZero"/>
        <c:auto val="1"/>
        <c:lblAlgn val="ctr"/>
        <c:lblOffset val="100"/>
        <c:noMultiLvlLbl val="0"/>
      </c:catAx>
      <c:valAx>
        <c:axId val="458639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37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[Projeto_Portfolio_Excel_Base - Copia.xlsx]Analise_TB_Dinamica!Tabela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Participação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44B3E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215C98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74747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Analise_TB_Dinamica!$B$15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44B3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63-47B9-B2A6-B1F75C61B87D}"/>
              </c:ext>
            </c:extLst>
          </c:dPt>
          <c:dPt>
            <c:idx val="1"/>
            <c:bubble3D val="0"/>
            <c:spPr>
              <a:solidFill>
                <a:srgbClr val="215C9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63-47B9-B2A6-B1F75C61B87D}"/>
              </c:ext>
            </c:extLst>
          </c:dPt>
          <c:dPt>
            <c:idx val="2"/>
            <c:bubble3D val="0"/>
            <c:spPr>
              <a:solidFill>
                <a:srgbClr val="74747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63-47B9-B2A6-B1F75C61B8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Analise_TB_Dinamica!$A$16:$A$19</c:f>
              <c:strCache>
                <c:ptCount val="3"/>
                <c:pt idx="0">
                  <c:v>Acessórios</c:v>
                </c:pt>
                <c:pt idx="1">
                  <c:v>Escritório</c:v>
                </c:pt>
                <c:pt idx="2">
                  <c:v>Informática</c:v>
                </c:pt>
              </c:strCache>
            </c:strRef>
          </c:cat>
          <c:val>
            <c:numRef>
              <c:f>Analise_TB_Dinamica!$B$16:$B$19</c:f>
              <c:numCache>
                <c:formatCode>_-[$R$-416]\ * #,##0.00_-;\-[$R$-416]\ * #,##0.00_-;_-[$R$-416]\ * "-"??_-;_-@_-</c:formatCode>
                <c:ptCount val="3"/>
                <c:pt idx="0">
                  <c:v>9550.75</c:v>
                </c:pt>
                <c:pt idx="1">
                  <c:v>20956.5</c:v>
                </c:pt>
                <c:pt idx="2">
                  <c:v>103255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63-47B9-B2A6-B1F75C61B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[Projeto_Portfolio_Excel_Base - Copia.xlsx]Analise_TB_Dinamica!Tabela dinâmica4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faturamento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Analise_TB_Dinamica!$B$21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Analise_TB_Dinamica!$A$22:$A$28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JUNHO</c:v>
                </c:pt>
                <c:pt idx="5">
                  <c:v>JULHO</c:v>
                </c:pt>
              </c:strCache>
            </c:strRef>
          </c:cat>
          <c:val>
            <c:numRef>
              <c:f>Analise_TB_Dinamica!$B$22:$B$28</c:f>
              <c:numCache>
                <c:formatCode>_-[$R$-416]\ * #,##0.00_-;\-[$R$-416]\ * #,##0.00_-;_-[$R$-416]\ * "-"??_-;_-@_-</c:formatCode>
                <c:ptCount val="6"/>
                <c:pt idx="0">
                  <c:v>59176.5</c:v>
                </c:pt>
                <c:pt idx="1">
                  <c:v>8875.5</c:v>
                </c:pt>
                <c:pt idx="2">
                  <c:v>15086.75</c:v>
                </c:pt>
                <c:pt idx="3">
                  <c:v>22500.75</c:v>
                </c:pt>
                <c:pt idx="4">
                  <c:v>11841.5</c:v>
                </c:pt>
                <c:pt idx="5">
                  <c:v>16281.25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4-47D8-8AF4-3E081E626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543623"/>
        <c:axId val="466545671"/>
      </c:lineChart>
      <c:catAx>
        <c:axId val="46654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545671"/>
        <c:crosses val="autoZero"/>
        <c:auto val="1"/>
        <c:lblAlgn val="ctr"/>
        <c:lblOffset val="100"/>
        <c:noMultiLvlLbl val="0"/>
      </c:catAx>
      <c:valAx>
        <c:axId val="466545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543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123825</xdr:colOff>
      <xdr:row>17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42B131-9426-AC76-47D6-1DD100493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123825</xdr:colOff>
      <xdr:row>0</xdr:row>
      <xdr:rowOff>0</xdr:rowOff>
    </xdr:from>
    <xdr:to>
      <xdr:col>20</xdr:col>
      <xdr:colOff>371475</xdr:colOff>
      <xdr:row>17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79207B-0440-7F22-98AB-97CD2A087EF7}"/>
            </a:ext>
            <a:ext uri="{147F2762-F138-4A5C-976F-8EAC2B608ADB}">
              <a16:predDERef xmlns:a16="http://schemas.microsoft.com/office/drawing/2014/main" pred="{BE42B131-9426-AC76-47D6-1DD100493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9525</xdr:rowOff>
    </xdr:from>
    <xdr:to>
      <xdr:col>9</xdr:col>
      <xdr:colOff>123825</xdr:colOff>
      <xdr:row>37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982D14-2FB4-5A8F-E982-C15B6D143FF7}"/>
            </a:ext>
            <a:ext uri="{147F2762-F138-4A5C-976F-8EAC2B608ADB}">
              <a16:predDERef xmlns:a16="http://schemas.microsoft.com/office/drawing/2014/main" pred="{4F79207B-0440-7F22-98AB-97CD2A087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123825</xdr:colOff>
      <xdr:row>17</xdr:row>
      <xdr:rowOff>28575</xdr:rowOff>
    </xdr:from>
    <xdr:to>
      <xdr:col>20</xdr:col>
      <xdr:colOff>371475</xdr:colOff>
      <xdr:row>37</xdr:row>
      <xdr:rowOff>114300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899E3C1-CC82-F1C8-6FFD-F09236D0797B}"/>
            </a:ext>
            <a:ext uri="{147F2762-F138-4A5C-976F-8EAC2B608ADB}">
              <a16:predDERef xmlns:a16="http://schemas.microsoft.com/office/drawing/2014/main" pred="{E5982D14-2FB4-5A8F-E982-C15B6D143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8.930904745372" createdVersion="8" refreshedVersion="8" minRefreshableVersion="3" recordCount="60" xr:uid="{2EABA4C4-E7B5-4266-A4AC-1F21319B8344}">
  <cacheSource type="worksheet">
    <worksheetSource name="tbVendas"/>
  </cacheSource>
  <cacheFields count="16">
    <cacheField name="Data" numFmtId="14">
      <sharedItems containsSemiMixedTypes="0" containsNonDate="0" containsDate="1" containsString="0" minDate="2026-01-04T00:00:00" maxDate="2026-06-28T00:00:00"/>
    </cacheField>
    <cacheField name="Mês" numFmtId="166">
      <sharedItems containsNonDate="0" containsDate="1" containsMixedTypes="1" minDate="2026-01-01T00:00:00" maxDate="2026-06-02T00:00:00" count="12">
        <d v="2026-01-01T00:00:00"/>
        <d v="2026-02-01T00:00:00"/>
        <d v="2026-03-01T00:00:00"/>
        <d v="2026-04-01T00:00:00"/>
        <d v="2026-05-01T00:00:00"/>
        <d v="2026-06-01T00:00:00"/>
        <s v="jan/2026" u="1"/>
        <s v="fev/2026" u="1"/>
        <s v="mar/2026" u="1"/>
        <s v="abr/2026" u="1"/>
        <s v="mai/2026" u="1"/>
        <s v="jun/2026" u="1"/>
      </sharedItems>
    </cacheField>
    <cacheField name="ID_Venda" numFmtId="0">
      <sharedItems/>
    </cacheField>
    <cacheField name="Vendedor" numFmtId="0">
      <sharedItems count="4">
        <s v="Diego"/>
        <s v="Carla"/>
        <s v="Bruno"/>
        <s v="Ana"/>
      </sharedItems>
    </cacheField>
    <cacheField name="Regiao" numFmtId="0">
      <sharedItems count="4">
        <s v="Sul"/>
        <s v="Nordeste"/>
        <s v="Centro-Oeste"/>
        <s v="Sudeste"/>
      </sharedItems>
    </cacheField>
    <cacheField name="Canal" numFmtId="0">
      <sharedItems/>
    </cacheField>
    <cacheField name="SKU" numFmtId="0">
      <sharedItems/>
    </cacheField>
    <cacheField name="Quantidade" numFmtId="0">
      <sharedItems containsSemiMixedTypes="0" containsString="0" containsNumber="1" containsInteger="1" minValue="1" maxValue="5"/>
    </cacheField>
    <cacheField name="Desconto_Pct" numFmtId="9">
      <sharedItems containsSemiMixedTypes="0" containsString="0" containsNumber="1" minValue="0" maxValue="0.15"/>
    </cacheField>
    <cacheField name="Produto" numFmtId="0">
      <sharedItems/>
    </cacheField>
    <cacheField name="Categoria" numFmtId="0">
      <sharedItems count="3">
        <s v="Informática"/>
        <s v="Acessórios"/>
        <s v="Escritório"/>
      </sharedItems>
    </cacheField>
    <cacheField name="Preco_Unitario" numFmtId="165">
      <sharedItems containsSemiMixedTypes="0" containsString="0" containsNumber="1" containsInteger="1" minValue="95" maxValue="2800"/>
    </cacheField>
    <cacheField name="Faturamento_Bruto" numFmtId="165">
      <sharedItems containsSemiMixedTypes="0" containsString="0" containsNumber="1" containsInteger="1" minValue="95" maxValue="14000"/>
    </cacheField>
    <cacheField name="Valor_Desconto" numFmtId="165">
      <sharedItems containsSemiMixedTypes="0" containsString="0" containsNumber="1" minValue="0" maxValue="1400"/>
    </cacheField>
    <cacheField name="Faturamento_Liquido" numFmtId="165">
      <sharedItems containsSemiMixedTypes="0" containsString="0" containsNumber="1" minValue="90.25" maxValue="12600"/>
    </cacheField>
    <cacheField name="Faixa_Vend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d v="2026-01-04T00:00:00"/>
    <x v="0"/>
    <s v="V0008"/>
    <x v="0"/>
    <x v="0"/>
    <s v="Parceiro"/>
    <s v="P002"/>
    <n v="4"/>
    <n v="0.1"/>
    <s v="Monitor 24"/>
    <x v="0"/>
    <n v="850"/>
    <n v="3400"/>
    <n v="340"/>
    <n v="3060"/>
    <s v="Alto Valor"/>
  </r>
  <r>
    <d v="2026-01-04T00:00:00"/>
    <x v="0"/>
    <s v="V0051"/>
    <x v="1"/>
    <x v="1"/>
    <s v="Loja"/>
    <s v="P001"/>
    <n v="1"/>
    <n v="0.05"/>
    <s v="Notebook Basic"/>
    <x v="0"/>
    <n v="2800"/>
    <n v="2800"/>
    <n v="140"/>
    <n v="2660"/>
    <s v="Alto Valor"/>
  </r>
  <r>
    <d v="2026-01-11T00:00:00"/>
    <x v="0"/>
    <s v="V0023"/>
    <x v="1"/>
    <x v="1"/>
    <s v="Parceiro"/>
    <s v="P003"/>
    <n v="4"/>
    <n v="0.1"/>
    <s v="Headset Pro"/>
    <x v="1"/>
    <n v="220"/>
    <n v="880"/>
    <n v="88"/>
    <n v="792"/>
    <s v="Regular"/>
  </r>
  <r>
    <d v="2026-01-14T00:00:00"/>
    <x v="0"/>
    <s v="V0012"/>
    <x v="0"/>
    <x v="0"/>
    <s v="Loja"/>
    <s v="P006"/>
    <n v="4"/>
    <n v="0"/>
    <s v="Mesa Compacta"/>
    <x v="2"/>
    <n v="520"/>
    <n v="2080"/>
    <n v="0"/>
    <n v="2080"/>
    <s v="Alto Valor"/>
  </r>
  <r>
    <d v="2026-01-17T00:00:00"/>
    <x v="0"/>
    <s v="V0042"/>
    <x v="2"/>
    <x v="2"/>
    <s v="Loja"/>
    <s v="P002"/>
    <n v="5"/>
    <n v="0"/>
    <s v="Monitor 24"/>
    <x v="0"/>
    <n v="850"/>
    <n v="4250"/>
    <n v="0"/>
    <n v="4250"/>
    <s v="Alto Valor"/>
  </r>
  <r>
    <d v="2026-01-19T00:00:00"/>
    <x v="0"/>
    <s v="V0024"/>
    <x v="0"/>
    <x v="0"/>
    <s v="Loja"/>
    <s v="P002"/>
    <n v="5"/>
    <n v="0.1"/>
    <s v="Monitor 24"/>
    <x v="0"/>
    <n v="850"/>
    <n v="4250"/>
    <n v="425"/>
    <n v="3825"/>
    <s v="Alto Valor"/>
  </r>
  <r>
    <d v="2026-01-20T00:00:00"/>
    <x v="0"/>
    <s v="V0015"/>
    <x v="1"/>
    <x v="1"/>
    <s v="Loja"/>
    <s v="P001"/>
    <n v="2"/>
    <n v="0.1"/>
    <s v="Notebook Basic"/>
    <x v="0"/>
    <n v="2800"/>
    <n v="5600"/>
    <n v="560"/>
    <n v="5040"/>
    <s v="Alto Valor"/>
  </r>
  <r>
    <d v="2026-01-20T00:00:00"/>
    <x v="0"/>
    <s v="V0052"/>
    <x v="0"/>
    <x v="0"/>
    <s v="Online"/>
    <s v="P001"/>
    <n v="3"/>
    <n v="0"/>
    <s v="Notebook Basic"/>
    <x v="0"/>
    <n v="2800"/>
    <n v="8400"/>
    <n v="0"/>
    <n v="8400"/>
    <s v="Alto Valor"/>
  </r>
  <r>
    <d v="2026-01-23T00:00:00"/>
    <x v="0"/>
    <s v="V0016"/>
    <x v="0"/>
    <x v="0"/>
    <s v="Online"/>
    <s v="P002"/>
    <n v="1"/>
    <n v="0.15"/>
    <s v="Monitor 24"/>
    <x v="0"/>
    <n v="850"/>
    <n v="850"/>
    <n v="127.5"/>
    <n v="722.5"/>
    <s v="Regular"/>
  </r>
  <r>
    <d v="2026-01-24T00:00:00"/>
    <x v="0"/>
    <s v="V0043"/>
    <x v="1"/>
    <x v="1"/>
    <s v="Online"/>
    <s v="P006"/>
    <n v="4"/>
    <n v="0"/>
    <s v="Mesa Compacta"/>
    <x v="2"/>
    <n v="520"/>
    <n v="2080"/>
    <n v="0"/>
    <n v="2080"/>
    <s v="Alto Valor"/>
  </r>
  <r>
    <d v="2026-01-26T00:00:00"/>
    <x v="0"/>
    <s v="V0005"/>
    <x v="3"/>
    <x v="3"/>
    <s v="Parceiro"/>
    <s v="P002"/>
    <n v="2"/>
    <n v="0"/>
    <s v="Monitor 24"/>
    <x v="0"/>
    <n v="850"/>
    <n v="1700"/>
    <n v="0"/>
    <n v="1700"/>
    <s v="Regular"/>
  </r>
  <r>
    <d v="2026-01-26T00:00:00"/>
    <x v="0"/>
    <s v="V0030"/>
    <x v="2"/>
    <x v="2"/>
    <s v="Loja"/>
    <s v="P001"/>
    <n v="1"/>
    <n v="0.05"/>
    <s v="Notebook Basic"/>
    <x v="0"/>
    <n v="2800"/>
    <n v="2800"/>
    <n v="140"/>
    <n v="2660"/>
    <s v="Alto Valor"/>
  </r>
  <r>
    <d v="2026-01-27T00:00:00"/>
    <x v="0"/>
    <s v="V0056"/>
    <x v="0"/>
    <x v="0"/>
    <s v="Parceiro"/>
    <s v="P001"/>
    <n v="4"/>
    <n v="0.1"/>
    <s v="Notebook Basic"/>
    <x v="0"/>
    <n v="2800"/>
    <n v="11200"/>
    <n v="1120"/>
    <n v="10080"/>
    <s v="Alto Valor"/>
  </r>
  <r>
    <d v="2026-01-29T00:00:00"/>
    <x v="0"/>
    <s v="V0010"/>
    <x v="2"/>
    <x v="2"/>
    <s v="Online"/>
    <s v="P001"/>
    <n v="4"/>
    <n v="0"/>
    <s v="Notebook Basic"/>
    <x v="0"/>
    <n v="2800"/>
    <n v="11200"/>
    <n v="0"/>
    <n v="11200"/>
    <s v="Alto Valor"/>
  </r>
  <r>
    <d v="2026-01-31T00:00:00"/>
    <x v="0"/>
    <s v="V0041"/>
    <x v="3"/>
    <x v="3"/>
    <s v="Parceiro"/>
    <s v="P003"/>
    <n v="3"/>
    <n v="0.05"/>
    <s v="Headset Pro"/>
    <x v="1"/>
    <n v="220"/>
    <n v="660"/>
    <n v="33"/>
    <n v="627"/>
    <s v="Regular"/>
  </r>
  <r>
    <d v="2026-02-07T00:00:00"/>
    <x v="1"/>
    <s v="V0027"/>
    <x v="1"/>
    <x v="1"/>
    <s v="Loja"/>
    <s v="P002"/>
    <n v="5"/>
    <n v="0.1"/>
    <s v="Monitor 24"/>
    <x v="0"/>
    <n v="850"/>
    <n v="4250"/>
    <n v="425"/>
    <n v="3825"/>
    <s v="Alto Valor"/>
  </r>
  <r>
    <d v="2026-02-11T00:00:00"/>
    <x v="1"/>
    <s v="V0039"/>
    <x v="1"/>
    <x v="1"/>
    <s v="Loja"/>
    <s v="P003"/>
    <n v="2"/>
    <n v="0"/>
    <s v="Headset Pro"/>
    <x v="1"/>
    <n v="220"/>
    <n v="440"/>
    <n v="0"/>
    <n v="440"/>
    <s v="Regular"/>
  </r>
  <r>
    <d v="2026-02-26T00:00:00"/>
    <x v="1"/>
    <s v="V0025"/>
    <x v="3"/>
    <x v="3"/>
    <s v="Online"/>
    <s v="P006"/>
    <n v="4"/>
    <n v="0.15"/>
    <s v="Mesa Compacta"/>
    <x v="2"/>
    <n v="520"/>
    <n v="2080"/>
    <n v="312"/>
    <n v="1768"/>
    <s v="Regular"/>
  </r>
  <r>
    <d v="2026-02-26T00:00:00"/>
    <x v="1"/>
    <s v="V0046"/>
    <x v="2"/>
    <x v="2"/>
    <s v="Online"/>
    <s v="P005"/>
    <n v="2"/>
    <n v="0.1"/>
    <s v="Cadeira Office"/>
    <x v="2"/>
    <n v="690"/>
    <n v="1380"/>
    <n v="138"/>
    <n v="1242"/>
    <s v="Regular"/>
  </r>
  <r>
    <d v="2026-02-26T00:00:00"/>
    <x v="1"/>
    <s v="V0054"/>
    <x v="2"/>
    <x v="2"/>
    <s v="Loja"/>
    <s v="P005"/>
    <n v="2"/>
    <n v="0.15"/>
    <s v="Cadeira Office"/>
    <x v="2"/>
    <n v="690"/>
    <n v="1380"/>
    <n v="207"/>
    <n v="1173"/>
    <s v="Regular"/>
  </r>
  <r>
    <d v="2026-02-28T00:00:00"/>
    <x v="1"/>
    <s v="V0007"/>
    <x v="1"/>
    <x v="1"/>
    <s v="Online"/>
    <s v="P004"/>
    <n v="5"/>
    <n v="0.1"/>
    <s v="Mouse Wireless"/>
    <x v="1"/>
    <n v="95"/>
    <n v="475"/>
    <n v="47.5"/>
    <n v="427.5"/>
    <s v="Regular"/>
  </r>
  <r>
    <d v="2026-03-01T00:00:00"/>
    <x v="2"/>
    <s v="V0049"/>
    <x v="3"/>
    <x v="3"/>
    <s v="Online"/>
    <s v="P001"/>
    <n v="3"/>
    <n v="0"/>
    <s v="Notebook Basic"/>
    <x v="0"/>
    <n v="2800"/>
    <n v="8400"/>
    <n v="0"/>
    <n v="8400"/>
    <s v="Alto Valor"/>
  </r>
  <r>
    <d v="2026-03-06T00:00:00"/>
    <x v="2"/>
    <s v="V0002"/>
    <x v="2"/>
    <x v="2"/>
    <s v="Parceiro"/>
    <s v="P002"/>
    <n v="2"/>
    <n v="0"/>
    <s v="Monitor 24"/>
    <x v="0"/>
    <n v="850"/>
    <n v="1700"/>
    <n v="0"/>
    <n v="1700"/>
    <s v="Regular"/>
  </r>
  <r>
    <d v="2026-03-06T00:00:00"/>
    <x v="2"/>
    <s v="V0055"/>
    <x v="1"/>
    <x v="1"/>
    <s v="Online"/>
    <s v="P004"/>
    <n v="4"/>
    <n v="0.05"/>
    <s v="Mouse Wireless"/>
    <x v="1"/>
    <n v="95"/>
    <n v="380"/>
    <n v="19"/>
    <n v="361"/>
    <s v="Regular"/>
  </r>
  <r>
    <d v="2026-03-07T00:00:00"/>
    <x v="2"/>
    <s v="V0060"/>
    <x v="0"/>
    <x v="0"/>
    <s v="Loja"/>
    <s v="P002"/>
    <n v="2"/>
    <n v="0.15"/>
    <s v="Monitor 24"/>
    <x v="0"/>
    <n v="850"/>
    <n v="1700"/>
    <n v="255"/>
    <n v="1445"/>
    <s v="Regular"/>
  </r>
  <r>
    <d v="2026-03-11T00:00:00"/>
    <x v="2"/>
    <s v="V0037"/>
    <x v="3"/>
    <x v="3"/>
    <s v="Online"/>
    <s v="P005"/>
    <n v="2"/>
    <n v="0"/>
    <s v="Cadeira Office"/>
    <x v="2"/>
    <n v="690"/>
    <n v="1380"/>
    <n v="0"/>
    <n v="1380"/>
    <s v="Regular"/>
  </r>
  <r>
    <d v="2026-03-15T00:00:00"/>
    <x v="2"/>
    <s v="V0009"/>
    <x v="3"/>
    <x v="3"/>
    <s v="Loja"/>
    <s v="P002"/>
    <n v="2"/>
    <n v="0.1"/>
    <s v="Monitor 24"/>
    <x v="0"/>
    <n v="850"/>
    <n v="1700"/>
    <n v="170"/>
    <n v="1530"/>
    <s v="Regular"/>
  </r>
  <r>
    <d v="2026-03-15T00:00:00"/>
    <x v="2"/>
    <s v="V0017"/>
    <x v="3"/>
    <x v="3"/>
    <s v="Parceiro"/>
    <s v="P004"/>
    <n v="3"/>
    <n v="0.05"/>
    <s v="Mouse Wireless"/>
    <x v="1"/>
    <n v="95"/>
    <n v="285"/>
    <n v="14.25"/>
    <n v="270.75"/>
    <s v="Regular"/>
  </r>
  <r>
    <d v="2026-04-04T00:00:00"/>
    <x v="3"/>
    <s v="V0011"/>
    <x v="1"/>
    <x v="1"/>
    <s v="Parceiro"/>
    <s v="P003"/>
    <n v="5"/>
    <n v="0.1"/>
    <s v="Headset Pro"/>
    <x v="1"/>
    <n v="220"/>
    <n v="1100"/>
    <n v="110"/>
    <n v="990"/>
    <s v="Regular"/>
  </r>
  <r>
    <d v="2026-04-05T00:00:00"/>
    <x v="3"/>
    <s v="V0029"/>
    <x v="3"/>
    <x v="3"/>
    <s v="Parceiro"/>
    <s v="P002"/>
    <n v="2"/>
    <n v="0.15"/>
    <s v="Monitor 24"/>
    <x v="0"/>
    <n v="850"/>
    <n v="1700"/>
    <n v="255"/>
    <n v="1445"/>
    <s v="Regular"/>
  </r>
  <r>
    <d v="2026-04-07T00:00:00"/>
    <x v="3"/>
    <s v="V0018"/>
    <x v="2"/>
    <x v="2"/>
    <s v="Loja"/>
    <s v="P003"/>
    <n v="2"/>
    <n v="0.1"/>
    <s v="Headset Pro"/>
    <x v="1"/>
    <n v="220"/>
    <n v="440"/>
    <n v="44"/>
    <n v="396"/>
    <s v="Regular"/>
  </r>
  <r>
    <d v="2026-04-09T00:00:00"/>
    <x v="3"/>
    <s v="V0013"/>
    <x v="3"/>
    <x v="3"/>
    <s v="Online"/>
    <s v="P001"/>
    <n v="5"/>
    <n v="0.1"/>
    <s v="Notebook Basic"/>
    <x v="0"/>
    <n v="2800"/>
    <n v="14000"/>
    <n v="1400"/>
    <n v="12600"/>
    <s v="Alto Valor"/>
  </r>
  <r>
    <d v="2026-04-11T00:00:00"/>
    <x v="3"/>
    <s v="V0032"/>
    <x v="0"/>
    <x v="0"/>
    <s v="Parceiro"/>
    <s v="P004"/>
    <n v="5"/>
    <n v="0.15"/>
    <s v="Mouse Wireless"/>
    <x v="1"/>
    <n v="95"/>
    <n v="475"/>
    <n v="71.25"/>
    <n v="403.75"/>
    <s v="Regular"/>
  </r>
  <r>
    <d v="2026-04-15T00:00:00"/>
    <x v="3"/>
    <s v="V0047"/>
    <x v="1"/>
    <x v="1"/>
    <s v="Parceiro"/>
    <s v="P006"/>
    <n v="3"/>
    <n v="0.15"/>
    <s v="Mesa Compacta"/>
    <x v="2"/>
    <n v="520"/>
    <n v="1560"/>
    <n v="234"/>
    <n v="1326"/>
    <s v="Regular"/>
  </r>
  <r>
    <d v="2026-04-16T00:00:00"/>
    <x v="3"/>
    <s v="V0059"/>
    <x v="1"/>
    <x v="1"/>
    <s v="Parceiro"/>
    <s v="P006"/>
    <n v="3"/>
    <n v="0"/>
    <s v="Mesa Compacta"/>
    <x v="2"/>
    <n v="520"/>
    <n v="1560"/>
    <n v="0"/>
    <n v="1560"/>
    <s v="Regular"/>
  </r>
  <r>
    <d v="2026-04-21T00:00:00"/>
    <x v="3"/>
    <s v="V0057"/>
    <x v="3"/>
    <x v="3"/>
    <s v="Loja"/>
    <s v="P004"/>
    <n v="4"/>
    <n v="0"/>
    <s v="Mouse Wireless"/>
    <x v="1"/>
    <n v="95"/>
    <n v="380"/>
    <n v="0"/>
    <n v="380"/>
    <s v="Regular"/>
  </r>
  <r>
    <d v="2026-04-24T00:00:00"/>
    <x v="3"/>
    <s v="V0036"/>
    <x v="0"/>
    <x v="0"/>
    <s v="Loja"/>
    <s v="P002"/>
    <n v="4"/>
    <n v="0"/>
    <s v="Monitor 24"/>
    <x v="0"/>
    <n v="850"/>
    <n v="3400"/>
    <n v="0"/>
    <n v="3400"/>
    <s v="Alto Valor"/>
  </r>
  <r>
    <d v="2026-05-01T00:00:00"/>
    <x v="4"/>
    <s v="V0021"/>
    <x v="3"/>
    <x v="3"/>
    <s v="Loja"/>
    <s v="P004"/>
    <n v="3"/>
    <n v="0.05"/>
    <s v="Mouse Wireless"/>
    <x v="1"/>
    <n v="95"/>
    <n v="285"/>
    <n v="14.25"/>
    <n v="270.75"/>
    <s v="Regular"/>
  </r>
  <r>
    <d v="2026-05-14T00:00:00"/>
    <x v="4"/>
    <s v="V0053"/>
    <x v="3"/>
    <x v="3"/>
    <s v="Parceiro"/>
    <s v="P002"/>
    <n v="3"/>
    <n v="0.15"/>
    <s v="Monitor 24"/>
    <x v="0"/>
    <n v="850"/>
    <n v="2550"/>
    <n v="382.5"/>
    <n v="2167.5"/>
    <s v="Alto Valor"/>
  </r>
  <r>
    <d v="2026-05-15T00:00:00"/>
    <x v="4"/>
    <s v="V0048"/>
    <x v="0"/>
    <x v="0"/>
    <s v="Loja"/>
    <s v="P004"/>
    <n v="1"/>
    <n v="0.05"/>
    <s v="Mouse Wireless"/>
    <x v="1"/>
    <n v="95"/>
    <n v="95"/>
    <n v="4.75"/>
    <n v="90.25"/>
    <s v="Regular"/>
  </r>
  <r>
    <d v="2026-05-18T00:00:00"/>
    <x v="4"/>
    <s v="V0033"/>
    <x v="3"/>
    <x v="3"/>
    <s v="Loja"/>
    <s v="P003"/>
    <n v="5"/>
    <n v="0"/>
    <s v="Headset Pro"/>
    <x v="1"/>
    <n v="220"/>
    <n v="1100"/>
    <n v="0"/>
    <n v="1100"/>
    <s v="Regular"/>
  </r>
  <r>
    <d v="2026-05-19T00:00:00"/>
    <x v="4"/>
    <s v="V0020"/>
    <x v="0"/>
    <x v="0"/>
    <s v="Parceiro"/>
    <s v="P006"/>
    <n v="2"/>
    <n v="0.05"/>
    <s v="Mesa Compacta"/>
    <x v="2"/>
    <n v="520"/>
    <n v="1040"/>
    <n v="52"/>
    <n v="988"/>
    <s v="Regular"/>
  </r>
  <r>
    <d v="2026-05-19T00:00:00"/>
    <x v="4"/>
    <s v="V0044"/>
    <x v="0"/>
    <x v="0"/>
    <s v="Parceiro"/>
    <s v="P002"/>
    <n v="2"/>
    <n v="0.15"/>
    <s v="Monitor 24"/>
    <x v="0"/>
    <n v="850"/>
    <n v="1700"/>
    <n v="255"/>
    <n v="1445"/>
    <s v="Regular"/>
  </r>
  <r>
    <d v="2026-05-23T00:00:00"/>
    <x v="4"/>
    <s v="V0045"/>
    <x v="3"/>
    <x v="3"/>
    <s v="Loja"/>
    <s v="P002"/>
    <n v="3"/>
    <n v="0.15"/>
    <s v="Monitor 24"/>
    <x v="0"/>
    <n v="850"/>
    <n v="2550"/>
    <n v="382.5"/>
    <n v="2167.5"/>
    <s v="Alto Valor"/>
  </r>
  <r>
    <d v="2026-05-26T00:00:00"/>
    <x v="4"/>
    <s v="V0006"/>
    <x v="2"/>
    <x v="2"/>
    <s v="Loja"/>
    <s v="P002"/>
    <n v="5"/>
    <n v="0.15"/>
    <s v="Monitor 24"/>
    <x v="0"/>
    <n v="850"/>
    <n v="4250"/>
    <n v="637.5"/>
    <n v="3612.5"/>
    <s v="Alto Valor"/>
  </r>
  <r>
    <d v="2026-06-01T00:00:00"/>
    <x v="5"/>
    <s v="V0028"/>
    <x v="0"/>
    <x v="0"/>
    <s v="Online"/>
    <s v="P004"/>
    <n v="5"/>
    <n v="0.15"/>
    <s v="Mouse Wireless"/>
    <x v="1"/>
    <n v="95"/>
    <n v="475"/>
    <n v="71.25"/>
    <n v="403.75"/>
    <s v="Regular"/>
  </r>
  <r>
    <d v="2026-06-02T00:00:00"/>
    <x v="5"/>
    <s v="V0050"/>
    <x v="2"/>
    <x v="2"/>
    <s v="Parceiro"/>
    <s v="P005"/>
    <n v="2"/>
    <n v="0.05"/>
    <s v="Cadeira Office"/>
    <x v="2"/>
    <n v="690"/>
    <n v="1380"/>
    <n v="69"/>
    <n v="1311"/>
    <s v="Regular"/>
  </r>
  <r>
    <d v="2026-06-03T00:00:00"/>
    <x v="5"/>
    <s v="V0004"/>
    <x v="0"/>
    <x v="0"/>
    <s v="Online"/>
    <s v="P004"/>
    <n v="1"/>
    <n v="0"/>
    <s v="Mouse Wireless"/>
    <x v="1"/>
    <n v="95"/>
    <n v="95"/>
    <n v="0"/>
    <n v="95"/>
    <s v="Regular"/>
  </r>
  <r>
    <d v="2026-06-05T00:00:00"/>
    <x v="5"/>
    <s v="V0040"/>
    <x v="0"/>
    <x v="0"/>
    <s v="Online"/>
    <s v="P003"/>
    <n v="4"/>
    <n v="0"/>
    <s v="Headset Pro"/>
    <x v="1"/>
    <n v="220"/>
    <n v="880"/>
    <n v="0"/>
    <n v="880"/>
    <s v="Regular"/>
  </r>
  <r>
    <d v="2026-06-12T00:00:00"/>
    <x v="5"/>
    <s v="V0014"/>
    <x v="2"/>
    <x v="2"/>
    <s v="Parceiro"/>
    <s v="P005"/>
    <n v="3"/>
    <n v="0.05"/>
    <s v="Cadeira Office"/>
    <x v="2"/>
    <n v="690"/>
    <n v="2070"/>
    <n v="103.5"/>
    <n v="1966.5"/>
    <s v="Regular"/>
  </r>
  <r>
    <d v="2026-06-12T00:00:00"/>
    <x v="5"/>
    <s v="V0031"/>
    <x v="1"/>
    <x v="1"/>
    <s v="Online"/>
    <s v="P002"/>
    <n v="4"/>
    <n v="0"/>
    <s v="Monitor 24"/>
    <x v="0"/>
    <n v="850"/>
    <n v="3400"/>
    <n v="0"/>
    <n v="3400"/>
    <s v="Alto Valor"/>
  </r>
  <r>
    <d v="2026-06-12T00:00:00"/>
    <x v="5"/>
    <s v="V0038"/>
    <x v="2"/>
    <x v="2"/>
    <s v="Parceiro"/>
    <s v="P003"/>
    <n v="5"/>
    <n v="0.05"/>
    <s v="Headset Pro"/>
    <x v="1"/>
    <n v="220"/>
    <n v="1100"/>
    <n v="55"/>
    <n v="1045"/>
    <s v="Regular"/>
  </r>
  <r>
    <d v="2026-06-15T00:00:00"/>
    <x v="5"/>
    <s v="V0001"/>
    <x v="3"/>
    <x v="3"/>
    <s v="Online"/>
    <s v="P001"/>
    <n v="1"/>
    <n v="0.1"/>
    <s v="Notebook Basic"/>
    <x v="0"/>
    <n v="2800"/>
    <n v="2800"/>
    <n v="280"/>
    <n v="2520"/>
    <s v="Alto Valor"/>
  </r>
  <r>
    <d v="2026-06-16T00:00:00"/>
    <x v="5"/>
    <s v="V0026"/>
    <x v="2"/>
    <x v="2"/>
    <s v="Parceiro"/>
    <s v="P004"/>
    <n v="2"/>
    <n v="0.1"/>
    <s v="Mouse Wireless"/>
    <x v="1"/>
    <n v="95"/>
    <n v="190"/>
    <n v="19"/>
    <n v="171"/>
    <s v="Regular"/>
  </r>
  <r>
    <d v="2026-06-16T00:00:00"/>
    <x v="5"/>
    <s v="V0035"/>
    <x v="1"/>
    <x v="1"/>
    <s v="Parceiro"/>
    <s v="P003"/>
    <n v="1"/>
    <n v="0.1"/>
    <s v="Headset Pro"/>
    <x v="1"/>
    <n v="220"/>
    <n v="220"/>
    <n v="22"/>
    <n v="198"/>
    <s v="Regular"/>
  </r>
  <r>
    <d v="2026-06-24T00:00:00"/>
    <x v="5"/>
    <s v="V0058"/>
    <x v="2"/>
    <x v="2"/>
    <s v="Online"/>
    <s v="P006"/>
    <n v="1"/>
    <n v="0"/>
    <s v="Mesa Compacta"/>
    <x v="2"/>
    <n v="520"/>
    <n v="520"/>
    <n v="0"/>
    <n v="520"/>
    <s v="Regular"/>
  </r>
  <r>
    <d v="2026-06-25T00:00:00"/>
    <x v="5"/>
    <s v="V0003"/>
    <x v="1"/>
    <x v="1"/>
    <s v="Loja"/>
    <s v="P006"/>
    <n v="5"/>
    <n v="0"/>
    <s v="Mesa Compacta"/>
    <x v="2"/>
    <n v="520"/>
    <n v="2600"/>
    <n v="0"/>
    <n v="2600"/>
    <s v="Alto Valor"/>
  </r>
  <r>
    <d v="2026-06-26T00:00:00"/>
    <x v="5"/>
    <s v="V0019"/>
    <x v="1"/>
    <x v="1"/>
    <s v="Online"/>
    <s v="P006"/>
    <n v="1"/>
    <n v="0.05"/>
    <s v="Mesa Compacta"/>
    <x v="2"/>
    <n v="520"/>
    <n v="520"/>
    <n v="26"/>
    <n v="494"/>
    <s v="Regular"/>
  </r>
  <r>
    <d v="2026-06-26T00:00:00"/>
    <x v="5"/>
    <s v="V0034"/>
    <x v="2"/>
    <x v="2"/>
    <s v="Online"/>
    <s v="P006"/>
    <n v="1"/>
    <n v="0.1"/>
    <s v="Mesa Compacta"/>
    <x v="2"/>
    <n v="520"/>
    <n v="520"/>
    <n v="52"/>
    <n v="468"/>
    <s v="Regular"/>
  </r>
  <r>
    <d v="2026-06-27T00:00:00"/>
    <x v="5"/>
    <s v="V0022"/>
    <x v="2"/>
    <x v="2"/>
    <s v="Online"/>
    <s v="P003"/>
    <n v="1"/>
    <n v="0.05"/>
    <s v="Headset Pro"/>
    <x v="1"/>
    <n v="220"/>
    <n v="220"/>
    <n v="11"/>
    <n v="209"/>
    <s v="Regul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343A6-1A91-4612-85FB-C8BF62063BBD}" name="Tabela dinâmica4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0">
  <location ref="A21:B28" firstHeaderRow="1" firstDataRow="1" firstDataCol="1"/>
  <pivotFields count="16">
    <pivotField compact="0" numFmtId="14" outline="0" showAll="0"/>
    <pivotField axis="axisRow" compact="0" outline="0" showAll="0" sortType="ascending">
      <items count="13">
        <item m="1" x="9"/>
        <item m="1" x="7"/>
        <item m="1" x="6"/>
        <item m="1" x="11"/>
        <item m="1" x="10"/>
        <item m="1" x="8"/>
        <item n="JANEIRO" x="0"/>
        <item n="FEVEREIRO" x="1"/>
        <item n="MARÇO" x="2"/>
        <item n="ABRIL" x="3"/>
        <item n="JUNHO" x="4"/>
        <item n="JULHO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compact="0" outline="0" showAll="0"/>
  </pivotFields>
  <rowFields count="1">
    <field x="1"/>
  </rowFields>
  <rowItems count="7"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Faturamento_Liquido" fld="14" baseField="0" baseItem="0" numFmtId="165"/>
  </dataField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48B90-A6CF-4ABC-9F34-832FFFF73898}" name="Tabela dinâmica3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15:B19" firstHeaderRow="1" firstDataRow="1" firstDataCol="1"/>
  <pivotFields count="16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Faturamento_Liquido" fld="14" baseField="0" baseItem="0" numFmtId="165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C16C0-DA80-4938-9DB0-CEDE1CC75BF1}" name="Tabela dinâmica2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8:B13" firstHeaderRow="1" firstDataRow="1" firstDataCol="1"/>
  <pivotFields count="16"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Faturamento_Liquido" fld="14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B2E31-C35D-4687-9DF0-5A23C46ABD56}" name="Tabela dinâmica1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1:B6" firstHeaderRow="1" firstDataRow="1" firstDataCol="1"/>
  <pivotFields count="16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Faturamento_Liquido" fld="14" baseField="0" baseItem="0" numFmtId="165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Vendas" displayName="tbVendas" ref="A1:P61" totalsRowShown="0" headerRowDxfId="17" dataDxfId="16">
  <tableColumns count="16">
    <tableColumn id="1" xr3:uid="{00000000-0010-0000-0000-000001000000}" name="Data" dataDxfId="15"/>
    <tableColumn id="16" xr3:uid="{A0E4070A-84DD-4453-8834-25450C811600}" name="Mês" dataDxfId="14">
      <calculatedColumnFormula>DATE(YEAR(tbVendas[[#This Row],[Data]]),MONTH(tbVendas[[#This Row],[Data]]),1)</calculatedColumnFormula>
    </tableColumn>
    <tableColumn id="2" xr3:uid="{00000000-0010-0000-0000-000002000000}" name="ID_Venda" dataDxfId="13"/>
    <tableColumn id="3" xr3:uid="{00000000-0010-0000-0000-000003000000}" name="Vendedor" dataDxfId="12"/>
    <tableColumn id="4" xr3:uid="{00000000-0010-0000-0000-000004000000}" name="Regiao" dataDxfId="11"/>
    <tableColumn id="5" xr3:uid="{00000000-0010-0000-0000-000005000000}" name="Canal" dataDxfId="10"/>
    <tableColumn id="6" xr3:uid="{00000000-0010-0000-0000-000006000000}" name="SKU" dataDxfId="9"/>
    <tableColumn id="7" xr3:uid="{00000000-0010-0000-0000-000007000000}" name="Quantidade" dataDxfId="8"/>
    <tableColumn id="8" xr3:uid="{00000000-0010-0000-0000-000008000000}" name="Desconto_Pct" dataDxfId="7"/>
    <tableColumn id="9" xr3:uid="{00000000-0010-0000-0000-000009000000}" name="Produto" dataDxfId="6">
      <calculatedColumnFormula>_xlfn.XLOOKUP(tbVendas[[#This Row],[SKU]],tbProdutos[SKU],tbProdutos[Produto])</calculatedColumnFormula>
    </tableColumn>
    <tableColumn id="10" xr3:uid="{00000000-0010-0000-0000-00000A000000}" name="Categoria" dataDxfId="5">
      <calculatedColumnFormula>_xlfn.XLOOKUP(tbVendas[[#This Row],[SKU]],tbProdutos[SKU],tbProdutos[Categoria])</calculatedColumnFormula>
    </tableColumn>
    <tableColumn id="11" xr3:uid="{00000000-0010-0000-0000-00000B000000}" name="Preco_Unitario" dataDxfId="4">
      <calculatedColumnFormula>_xlfn.XLOOKUP(tbVendas[[#This Row],[SKU]],tbProdutos[SKU],tbProdutos[Preco_Unitario])</calculatedColumnFormula>
    </tableColumn>
    <tableColumn id="12" xr3:uid="{00000000-0010-0000-0000-00000C000000}" name="Faturamento_Bruto" dataDxfId="3">
      <calculatedColumnFormula>tbVendas[[#This Row],[Quantidade]]*tbVendas[[#This Row],[Preco_Unitario]]</calculatedColumnFormula>
    </tableColumn>
    <tableColumn id="13" xr3:uid="{00000000-0010-0000-0000-00000D000000}" name="Valor_Desconto" dataDxfId="2">
      <calculatedColumnFormula>tbVendas[[#This Row],[Faturamento_Bruto]]*tbVendas[[#This Row],[Desconto_Pct]]</calculatedColumnFormula>
    </tableColumn>
    <tableColumn id="14" xr3:uid="{00000000-0010-0000-0000-00000E000000}" name="Faturamento_Liquido" dataDxfId="1">
      <calculatedColumnFormula>tbVendas[[#This Row],[Faturamento_Bruto]]-tbVendas[[#This Row],[Valor_Desconto]]</calculatedColumnFormula>
    </tableColumn>
    <tableColumn id="15" xr3:uid="{00000000-0010-0000-0000-00000F000000}" name="Faixa_Venda" dataDxfId="0">
      <calculatedColumnFormula>IF(tbVendas[[#This Row],[Faturamento_Liquido]]&gt;=2000,"Alto Valor","Regular")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Produtos" displayName="tbProdutos" ref="A1:D7" totalsRowShown="0">
  <tableColumns count="4">
    <tableColumn id="1" xr3:uid="{00000000-0010-0000-0100-000001000000}" name="SKU"/>
    <tableColumn id="2" xr3:uid="{00000000-0010-0000-0100-000002000000}" name="Produto"/>
    <tableColumn id="3" xr3:uid="{00000000-0010-0000-0100-000003000000}" name="Categoria"/>
    <tableColumn id="4" xr3:uid="{00000000-0010-0000-0100-000004000000}" name="Preco_Uni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showGridLines="0" tabSelected="1" zoomScaleNormal="100" zoomScaleSheetLayoutView="100" workbookViewId="0">
      <selection activeCell="Q12" sqref="Q12"/>
    </sheetView>
  </sheetViews>
  <sheetFormatPr defaultRowHeight="15"/>
  <cols>
    <col min="1" max="2" width="12" customWidth="1"/>
    <col min="3" max="3" width="11" customWidth="1"/>
    <col min="4" max="4" width="12" customWidth="1"/>
    <col min="5" max="5" width="16" customWidth="1"/>
    <col min="6" max="6" width="12" customWidth="1"/>
    <col min="7" max="7" width="9" customWidth="1"/>
    <col min="8" max="8" width="11" customWidth="1"/>
    <col min="9" max="9" width="13" customWidth="1"/>
    <col min="10" max="10" width="18" customWidth="1"/>
    <col min="11" max="12" width="15" customWidth="1"/>
    <col min="13" max="13" width="18" customWidth="1"/>
    <col min="14" max="14" width="17" customWidth="1"/>
    <col min="15" max="15" width="19" customWidth="1"/>
    <col min="16" max="16" width="14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2">
        <v>46026</v>
      </c>
      <c r="B2" s="13">
        <f>DATE(YEAR(tbVendas[[#This Row],[Data]]),MONTH(tbVendas[[#This Row],[Data]]),1)</f>
        <v>46023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4</v>
      </c>
      <c r="I2" s="14">
        <v>0.1</v>
      </c>
      <c r="J2" s="2" t="str">
        <f>_xlfn.XLOOKUP(tbVendas[[#This Row],[SKU]],tbProdutos[SKU],tbProdutos[Produto])</f>
        <v>Monitor 24</v>
      </c>
      <c r="K2" s="2" t="str">
        <f>_xlfn.XLOOKUP(tbVendas[[#This Row],[SKU]],tbProdutos[SKU],tbProdutos[Categoria])</f>
        <v>Informática</v>
      </c>
      <c r="L2" s="3">
        <f>_xlfn.XLOOKUP(tbVendas[[#This Row],[SKU]],tbProdutos[SKU],tbProdutos[Preco_Unitario])</f>
        <v>850</v>
      </c>
      <c r="M2" s="3">
        <f>tbVendas[[#This Row],[Quantidade]]*tbVendas[[#This Row],[Preco_Unitario]]</f>
        <v>3400</v>
      </c>
      <c r="N2" s="3">
        <f>tbVendas[[#This Row],[Faturamento_Bruto]]*tbVendas[[#This Row],[Desconto_Pct]]</f>
        <v>340</v>
      </c>
      <c r="O2" s="3">
        <f>tbVendas[[#This Row],[Faturamento_Bruto]]-tbVendas[[#This Row],[Valor_Desconto]]</f>
        <v>3060</v>
      </c>
      <c r="P2" s="2" t="str">
        <f>IF(tbVendas[[#This Row],[Faturamento_Liquido]]&gt;=2000,"Alto Valor","Regular")</f>
        <v>Alto Valor</v>
      </c>
    </row>
    <row r="3" spans="1:16">
      <c r="A3" s="12">
        <v>46026</v>
      </c>
      <c r="B3" s="13">
        <f>DATE(YEAR(tbVendas[[#This Row],[Data]]),MONTH(tbVendas[[#This Row],[Data]]),1)</f>
        <v>46023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>
        <v>1</v>
      </c>
      <c r="I3" s="14">
        <v>0.05</v>
      </c>
      <c r="J3" s="2" t="str">
        <f>_xlfn.XLOOKUP(tbVendas[[#This Row],[SKU]],tbProdutos[SKU],tbProdutos[Produto])</f>
        <v>Notebook Basic</v>
      </c>
      <c r="K3" s="2" t="str">
        <f>_xlfn.XLOOKUP(tbVendas[[#This Row],[SKU]],tbProdutos[SKU],tbProdutos[Categoria])</f>
        <v>Informática</v>
      </c>
      <c r="L3" s="3">
        <f>_xlfn.XLOOKUP(tbVendas[[#This Row],[SKU]],tbProdutos[SKU],tbProdutos[Preco_Unitario])</f>
        <v>2800</v>
      </c>
      <c r="M3" s="3">
        <f>tbVendas[[#This Row],[Quantidade]]*tbVendas[[#This Row],[Preco_Unitario]]</f>
        <v>2800</v>
      </c>
      <c r="N3" s="3">
        <f>tbVendas[[#This Row],[Faturamento_Bruto]]*tbVendas[[#This Row],[Desconto_Pct]]</f>
        <v>140</v>
      </c>
      <c r="O3" s="3">
        <f>tbVendas[[#This Row],[Faturamento_Bruto]]-tbVendas[[#This Row],[Valor_Desconto]]</f>
        <v>2660</v>
      </c>
      <c r="P3" s="2" t="str">
        <f>IF(tbVendas[[#This Row],[Faturamento_Liquido]]&gt;=2000,"Alto Valor","Regular")</f>
        <v>Alto Valor</v>
      </c>
    </row>
    <row r="4" spans="1:16">
      <c r="A4" s="12">
        <v>46033</v>
      </c>
      <c r="B4" s="13">
        <f>DATE(YEAR(tbVendas[[#This Row],[Data]]),MONTH(tbVendas[[#This Row],[Data]]),1)</f>
        <v>46023</v>
      </c>
      <c r="C4" s="2" t="s">
        <v>26</v>
      </c>
      <c r="D4" s="2" t="s">
        <v>22</v>
      </c>
      <c r="E4" s="2" t="s">
        <v>23</v>
      </c>
      <c r="F4" s="2" t="s">
        <v>19</v>
      </c>
      <c r="G4" s="2" t="s">
        <v>27</v>
      </c>
      <c r="H4" s="2">
        <v>4</v>
      </c>
      <c r="I4" s="14">
        <v>0.1</v>
      </c>
      <c r="J4" s="2" t="str">
        <f>_xlfn.XLOOKUP(tbVendas[[#This Row],[SKU]],tbProdutos[SKU],tbProdutos[Produto])</f>
        <v>Headset Pro</v>
      </c>
      <c r="K4" s="2" t="str">
        <f>_xlfn.XLOOKUP(tbVendas[[#This Row],[SKU]],tbProdutos[SKU],tbProdutos[Categoria])</f>
        <v>Acessórios</v>
      </c>
      <c r="L4" s="3">
        <f>_xlfn.XLOOKUP(tbVendas[[#This Row],[SKU]],tbProdutos[SKU],tbProdutos[Preco_Unitario])</f>
        <v>220</v>
      </c>
      <c r="M4" s="3">
        <f>tbVendas[[#This Row],[Quantidade]]*tbVendas[[#This Row],[Preco_Unitario]]</f>
        <v>880</v>
      </c>
      <c r="N4" s="3">
        <f>tbVendas[[#This Row],[Faturamento_Bruto]]*tbVendas[[#This Row],[Desconto_Pct]]</f>
        <v>88</v>
      </c>
      <c r="O4" s="3">
        <f>tbVendas[[#This Row],[Faturamento_Bruto]]-tbVendas[[#This Row],[Valor_Desconto]]</f>
        <v>792</v>
      </c>
      <c r="P4" s="2" t="str">
        <f>IF(tbVendas[[#This Row],[Faturamento_Liquido]]&gt;=2000,"Alto Valor","Regular")</f>
        <v>Regular</v>
      </c>
    </row>
    <row r="5" spans="1:16">
      <c r="A5" s="12">
        <v>46036</v>
      </c>
      <c r="B5" s="13">
        <f>DATE(YEAR(tbVendas[[#This Row],[Data]]),MONTH(tbVendas[[#This Row],[Data]]),1)</f>
        <v>46023</v>
      </c>
      <c r="C5" s="2" t="s">
        <v>28</v>
      </c>
      <c r="D5" s="2" t="s">
        <v>17</v>
      </c>
      <c r="E5" s="2" t="s">
        <v>18</v>
      </c>
      <c r="F5" s="2" t="s">
        <v>24</v>
      </c>
      <c r="G5" s="2" t="s">
        <v>29</v>
      </c>
      <c r="H5" s="2">
        <v>4</v>
      </c>
      <c r="I5" s="14">
        <v>0</v>
      </c>
      <c r="J5" s="2" t="str">
        <f>_xlfn.XLOOKUP(tbVendas[[#This Row],[SKU]],tbProdutos[SKU],tbProdutos[Produto])</f>
        <v>Mesa Compacta</v>
      </c>
      <c r="K5" s="2" t="str">
        <f>_xlfn.XLOOKUP(tbVendas[[#This Row],[SKU]],tbProdutos[SKU],tbProdutos[Categoria])</f>
        <v>Escritório</v>
      </c>
      <c r="L5" s="3">
        <f>_xlfn.XLOOKUP(tbVendas[[#This Row],[SKU]],tbProdutos[SKU],tbProdutos[Preco_Unitario])</f>
        <v>520</v>
      </c>
      <c r="M5" s="3">
        <f>tbVendas[[#This Row],[Quantidade]]*tbVendas[[#This Row],[Preco_Unitario]]</f>
        <v>2080</v>
      </c>
      <c r="N5" s="3">
        <f>tbVendas[[#This Row],[Faturamento_Bruto]]*tbVendas[[#This Row],[Desconto_Pct]]</f>
        <v>0</v>
      </c>
      <c r="O5" s="3">
        <f>tbVendas[[#This Row],[Faturamento_Bruto]]-tbVendas[[#This Row],[Valor_Desconto]]</f>
        <v>2080</v>
      </c>
      <c r="P5" s="2" t="str">
        <f>IF(tbVendas[[#This Row],[Faturamento_Liquido]]&gt;=2000,"Alto Valor","Regular")</f>
        <v>Alto Valor</v>
      </c>
    </row>
    <row r="6" spans="1:16">
      <c r="A6" s="12">
        <v>46039</v>
      </c>
      <c r="B6" s="13">
        <f>DATE(YEAR(tbVendas[[#This Row],[Data]]),MONTH(tbVendas[[#This Row],[Data]]),1)</f>
        <v>46023</v>
      </c>
      <c r="C6" s="2" t="s">
        <v>30</v>
      </c>
      <c r="D6" s="2" t="s">
        <v>31</v>
      </c>
      <c r="E6" s="2" t="s">
        <v>32</v>
      </c>
      <c r="F6" s="2" t="s">
        <v>24</v>
      </c>
      <c r="G6" s="2" t="s">
        <v>20</v>
      </c>
      <c r="H6" s="2">
        <v>5</v>
      </c>
      <c r="I6" s="14">
        <v>0</v>
      </c>
      <c r="J6" s="2" t="str">
        <f>_xlfn.XLOOKUP(tbVendas[[#This Row],[SKU]],tbProdutos[SKU],tbProdutos[Produto])</f>
        <v>Monitor 24</v>
      </c>
      <c r="K6" s="2" t="str">
        <f>_xlfn.XLOOKUP(tbVendas[[#This Row],[SKU]],tbProdutos[SKU],tbProdutos[Categoria])</f>
        <v>Informática</v>
      </c>
      <c r="L6" s="3">
        <f>_xlfn.XLOOKUP(tbVendas[[#This Row],[SKU]],tbProdutos[SKU],tbProdutos[Preco_Unitario])</f>
        <v>850</v>
      </c>
      <c r="M6" s="3">
        <f>tbVendas[[#This Row],[Quantidade]]*tbVendas[[#This Row],[Preco_Unitario]]</f>
        <v>4250</v>
      </c>
      <c r="N6" s="3">
        <f>tbVendas[[#This Row],[Faturamento_Bruto]]*tbVendas[[#This Row],[Desconto_Pct]]</f>
        <v>0</v>
      </c>
      <c r="O6" s="3">
        <f>tbVendas[[#This Row],[Faturamento_Bruto]]-tbVendas[[#This Row],[Valor_Desconto]]</f>
        <v>4250</v>
      </c>
      <c r="P6" s="2" t="str">
        <f>IF(tbVendas[[#This Row],[Faturamento_Liquido]]&gt;=2000,"Alto Valor","Regular")</f>
        <v>Alto Valor</v>
      </c>
    </row>
    <row r="7" spans="1:16">
      <c r="A7" s="12">
        <v>46041</v>
      </c>
      <c r="B7" s="13">
        <f>DATE(YEAR(tbVendas[[#This Row],[Data]]),MONTH(tbVendas[[#This Row],[Data]]),1)</f>
        <v>46023</v>
      </c>
      <c r="C7" s="2" t="s">
        <v>33</v>
      </c>
      <c r="D7" s="2" t="s">
        <v>17</v>
      </c>
      <c r="E7" s="2" t="s">
        <v>18</v>
      </c>
      <c r="F7" s="2" t="s">
        <v>24</v>
      </c>
      <c r="G7" s="2" t="s">
        <v>20</v>
      </c>
      <c r="H7" s="2">
        <v>5</v>
      </c>
      <c r="I7" s="14">
        <v>0.1</v>
      </c>
      <c r="J7" s="2" t="str">
        <f>_xlfn.XLOOKUP(tbVendas[[#This Row],[SKU]],tbProdutos[SKU],tbProdutos[Produto])</f>
        <v>Monitor 24</v>
      </c>
      <c r="K7" s="2" t="str">
        <f>_xlfn.XLOOKUP(tbVendas[[#This Row],[SKU]],tbProdutos[SKU],tbProdutos[Categoria])</f>
        <v>Informática</v>
      </c>
      <c r="L7" s="3">
        <f>_xlfn.XLOOKUP(tbVendas[[#This Row],[SKU]],tbProdutos[SKU],tbProdutos[Preco_Unitario])</f>
        <v>850</v>
      </c>
      <c r="M7" s="3">
        <f>tbVendas[[#This Row],[Quantidade]]*tbVendas[[#This Row],[Preco_Unitario]]</f>
        <v>4250</v>
      </c>
      <c r="N7" s="3">
        <f>tbVendas[[#This Row],[Faturamento_Bruto]]*tbVendas[[#This Row],[Desconto_Pct]]</f>
        <v>425</v>
      </c>
      <c r="O7" s="3">
        <f>tbVendas[[#This Row],[Faturamento_Bruto]]-tbVendas[[#This Row],[Valor_Desconto]]</f>
        <v>3825</v>
      </c>
      <c r="P7" s="2" t="str">
        <f>IF(tbVendas[[#This Row],[Faturamento_Liquido]]&gt;=2000,"Alto Valor","Regular")</f>
        <v>Alto Valor</v>
      </c>
    </row>
    <row r="8" spans="1:16">
      <c r="A8" s="12">
        <v>46042</v>
      </c>
      <c r="B8" s="13">
        <f>DATE(YEAR(tbVendas[[#This Row],[Data]]),MONTH(tbVendas[[#This Row],[Data]]),1)</f>
        <v>46023</v>
      </c>
      <c r="C8" s="2" t="s">
        <v>34</v>
      </c>
      <c r="D8" s="2" t="s">
        <v>22</v>
      </c>
      <c r="E8" s="2" t="s">
        <v>23</v>
      </c>
      <c r="F8" s="2" t="s">
        <v>24</v>
      </c>
      <c r="G8" s="2" t="s">
        <v>25</v>
      </c>
      <c r="H8" s="2">
        <v>2</v>
      </c>
      <c r="I8" s="14">
        <v>0.1</v>
      </c>
      <c r="J8" s="2" t="str">
        <f>_xlfn.XLOOKUP(tbVendas[[#This Row],[SKU]],tbProdutos[SKU],tbProdutos[Produto])</f>
        <v>Notebook Basic</v>
      </c>
      <c r="K8" s="2" t="str">
        <f>_xlfn.XLOOKUP(tbVendas[[#This Row],[SKU]],tbProdutos[SKU],tbProdutos[Categoria])</f>
        <v>Informática</v>
      </c>
      <c r="L8" s="3">
        <f>_xlfn.XLOOKUP(tbVendas[[#This Row],[SKU]],tbProdutos[SKU],tbProdutos[Preco_Unitario])</f>
        <v>2800</v>
      </c>
      <c r="M8" s="3">
        <f>tbVendas[[#This Row],[Quantidade]]*tbVendas[[#This Row],[Preco_Unitario]]</f>
        <v>5600</v>
      </c>
      <c r="N8" s="3">
        <f>tbVendas[[#This Row],[Faturamento_Bruto]]*tbVendas[[#This Row],[Desconto_Pct]]</f>
        <v>560</v>
      </c>
      <c r="O8" s="3">
        <f>tbVendas[[#This Row],[Faturamento_Bruto]]-tbVendas[[#This Row],[Valor_Desconto]]</f>
        <v>5040</v>
      </c>
      <c r="P8" s="2" t="str">
        <f>IF(tbVendas[[#This Row],[Faturamento_Liquido]]&gt;=2000,"Alto Valor","Regular")</f>
        <v>Alto Valor</v>
      </c>
    </row>
    <row r="9" spans="1:16">
      <c r="A9" s="12">
        <v>46042</v>
      </c>
      <c r="B9" s="13">
        <f>DATE(YEAR(tbVendas[[#This Row],[Data]]),MONTH(tbVendas[[#This Row],[Data]]),1)</f>
        <v>46023</v>
      </c>
      <c r="C9" s="2" t="s">
        <v>35</v>
      </c>
      <c r="D9" s="2" t="s">
        <v>17</v>
      </c>
      <c r="E9" s="2" t="s">
        <v>18</v>
      </c>
      <c r="F9" s="2" t="s">
        <v>36</v>
      </c>
      <c r="G9" s="2" t="s">
        <v>25</v>
      </c>
      <c r="H9" s="2">
        <v>3</v>
      </c>
      <c r="I9" s="14">
        <v>0</v>
      </c>
      <c r="J9" s="2" t="str">
        <f>_xlfn.XLOOKUP(tbVendas[[#This Row],[SKU]],tbProdutos[SKU],tbProdutos[Produto])</f>
        <v>Notebook Basic</v>
      </c>
      <c r="K9" s="2" t="str">
        <f>_xlfn.XLOOKUP(tbVendas[[#This Row],[SKU]],tbProdutos[SKU],tbProdutos[Categoria])</f>
        <v>Informática</v>
      </c>
      <c r="L9" s="3">
        <f>_xlfn.XLOOKUP(tbVendas[[#This Row],[SKU]],tbProdutos[SKU],tbProdutos[Preco_Unitario])</f>
        <v>2800</v>
      </c>
      <c r="M9" s="3">
        <f>tbVendas[[#This Row],[Quantidade]]*tbVendas[[#This Row],[Preco_Unitario]]</f>
        <v>8400</v>
      </c>
      <c r="N9" s="3">
        <f>tbVendas[[#This Row],[Faturamento_Bruto]]*tbVendas[[#This Row],[Desconto_Pct]]</f>
        <v>0</v>
      </c>
      <c r="O9" s="3">
        <f>tbVendas[[#This Row],[Faturamento_Bruto]]-tbVendas[[#This Row],[Valor_Desconto]]</f>
        <v>8400</v>
      </c>
      <c r="P9" s="2" t="str">
        <f>IF(tbVendas[[#This Row],[Faturamento_Liquido]]&gt;=2000,"Alto Valor","Regular")</f>
        <v>Alto Valor</v>
      </c>
    </row>
    <row r="10" spans="1:16">
      <c r="A10" s="12">
        <v>46045</v>
      </c>
      <c r="B10" s="13">
        <f>DATE(YEAR(tbVendas[[#This Row],[Data]]),MONTH(tbVendas[[#This Row],[Data]]),1)</f>
        <v>46023</v>
      </c>
      <c r="C10" s="2" t="s">
        <v>37</v>
      </c>
      <c r="D10" s="2" t="s">
        <v>17</v>
      </c>
      <c r="E10" s="2" t="s">
        <v>18</v>
      </c>
      <c r="F10" s="2" t="s">
        <v>36</v>
      </c>
      <c r="G10" s="2" t="s">
        <v>20</v>
      </c>
      <c r="H10" s="2">
        <v>1</v>
      </c>
      <c r="I10" s="14">
        <v>0.15</v>
      </c>
      <c r="J10" s="2" t="str">
        <f>_xlfn.XLOOKUP(tbVendas[[#This Row],[SKU]],tbProdutos[SKU],tbProdutos[Produto])</f>
        <v>Monitor 24</v>
      </c>
      <c r="K10" s="2" t="str">
        <f>_xlfn.XLOOKUP(tbVendas[[#This Row],[SKU]],tbProdutos[SKU],tbProdutos[Categoria])</f>
        <v>Informática</v>
      </c>
      <c r="L10" s="3">
        <f>_xlfn.XLOOKUP(tbVendas[[#This Row],[SKU]],tbProdutos[SKU],tbProdutos[Preco_Unitario])</f>
        <v>850</v>
      </c>
      <c r="M10" s="3">
        <f>tbVendas[[#This Row],[Quantidade]]*tbVendas[[#This Row],[Preco_Unitario]]</f>
        <v>850</v>
      </c>
      <c r="N10" s="3">
        <f>tbVendas[[#This Row],[Faturamento_Bruto]]*tbVendas[[#This Row],[Desconto_Pct]]</f>
        <v>127.5</v>
      </c>
      <c r="O10" s="3">
        <f>tbVendas[[#This Row],[Faturamento_Bruto]]-tbVendas[[#This Row],[Valor_Desconto]]</f>
        <v>722.5</v>
      </c>
      <c r="P10" s="2" t="str">
        <f>IF(tbVendas[[#This Row],[Faturamento_Liquido]]&gt;=2000,"Alto Valor","Regular")</f>
        <v>Regular</v>
      </c>
    </row>
    <row r="11" spans="1:16">
      <c r="A11" s="12">
        <v>46046</v>
      </c>
      <c r="B11" s="13">
        <f>DATE(YEAR(tbVendas[[#This Row],[Data]]),MONTH(tbVendas[[#This Row],[Data]]),1)</f>
        <v>46023</v>
      </c>
      <c r="C11" s="2" t="s">
        <v>38</v>
      </c>
      <c r="D11" s="2" t="s">
        <v>22</v>
      </c>
      <c r="E11" s="2" t="s">
        <v>23</v>
      </c>
      <c r="F11" s="2" t="s">
        <v>36</v>
      </c>
      <c r="G11" s="2" t="s">
        <v>29</v>
      </c>
      <c r="H11" s="2">
        <v>4</v>
      </c>
      <c r="I11" s="14">
        <v>0</v>
      </c>
      <c r="J11" s="2" t="str">
        <f>_xlfn.XLOOKUP(tbVendas[[#This Row],[SKU]],tbProdutos[SKU],tbProdutos[Produto])</f>
        <v>Mesa Compacta</v>
      </c>
      <c r="K11" s="2" t="str">
        <f>_xlfn.XLOOKUP(tbVendas[[#This Row],[SKU]],tbProdutos[SKU],tbProdutos[Categoria])</f>
        <v>Escritório</v>
      </c>
      <c r="L11" s="3">
        <f>_xlfn.XLOOKUP(tbVendas[[#This Row],[SKU]],tbProdutos[SKU],tbProdutos[Preco_Unitario])</f>
        <v>520</v>
      </c>
      <c r="M11" s="3">
        <f>tbVendas[[#This Row],[Quantidade]]*tbVendas[[#This Row],[Preco_Unitario]]</f>
        <v>2080</v>
      </c>
      <c r="N11" s="3">
        <f>tbVendas[[#This Row],[Faturamento_Bruto]]*tbVendas[[#This Row],[Desconto_Pct]]</f>
        <v>0</v>
      </c>
      <c r="O11" s="3">
        <f>tbVendas[[#This Row],[Faturamento_Bruto]]-tbVendas[[#This Row],[Valor_Desconto]]</f>
        <v>2080</v>
      </c>
      <c r="P11" s="2" t="str">
        <f>IF(tbVendas[[#This Row],[Faturamento_Liquido]]&gt;=2000,"Alto Valor","Regular")</f>
        <v>Alto Valor</v>
      </c>
    </row>
    <row r="12" spans="1:16">
      <c r="A12" s="12">
        <v>46048</v>
      </c>
      <c r="B12" s="13">
        <f>DATE(YEAR(tbVendas[[#This Row],[Data]]),MONTH(tbVendas[[#This Row],[Data]]),1)</f>
        <v>46023</v>
      </c>
      <c r="C12" s="2" t="s">
        <v>39</v>
      </c>
      <c r="D12" s="2" t="s">
        <v>40</v>
      </c>
      <c r="E12" s="2" t="s">
        <v>41</v>
      </c>
      <c r="F12" s="2" t="s">
        <v>19</v>
      </c>
      <c r="G12" s="2" t="s">
        <v>20</v>
      </c>
      <c r="H12" s="2">
        <v>2</v>
      </c>
      <c r="I12" s="14">
        <v>0</v>
      </c>
      <c r="J12" s="2" t="str">
        <f>_xlfn.XLOOKUP(tbVendas[[#This Row],[SKU]],tbProdutos[SKU],tbProdutos[Produto])</f>
        <v>Monitor 24</v>
      </c>
      <c r="K12" s="2" t="str">
        <f>_xlfn.XLOOKUP(tbVendas[[#This Row],[SKU]],tbProdutos[SKU],tbProdutos[Categoria])</f>
        <v>Informática</v>
      </c>
      <c r="L12" s="3">
        <f>_xlfn.XLOOKUP(tbVendas[[#This Row],[SKU]],tbProdutos[SKU],tbProdutos[Preco_Unitario])</f>
        <v>850</v>
      </c>
      <c r="M12" s="3">
        <f>tbVendas[[#This Row],[Quantidade]]*tbVendas[[#This Row],[Preco_Unitario]]</f>
        <v>1700</v>
      </c>
      <c r="N12" s="3">
        <f>tbVendas[[#This Row],[Faturamento_Bruto]]*tbVendas[[#This Row],[Desconto_Pct]]</f>
        <v>0</v>
      </c>
      <c r="O12" s="3">
        <f>tbVendas[[#This Row],[Faturamento_Bruto]]-tbVendas[[#This Row],[Valor_Desconto]]</f>
        <v>1700</v>
      </c>
      <c r="P12" s="2" t="str">
        <f>IF(tbVendas[[#This Row],[Faturamento_Liquido]]&gt;=2000,"Alto Valor","Regular")</f>
        <v>Regular</v>
      </c>
    </row>
    <row r="13" spans="1:16">
      <c r="A13" s="12">
        <v>46048</v>
      </c>
      <c r="B13" s="13">
        <f>DATE(YEAR(tbVendas[[#This Row],[Data]]),MONTH(tbVendas[[#This Row],[Data]]),1)</f>
        <v>46023</v>
      </c>
      <c r="C13" s="2" t="s">
        <v>42</v>
      </c>
      <c r="D13" s="2" t="s">
        <v>31</v>
      </c>
      <c r="E13" s="2" t="s">
        <v>32</v>
      </c>
      <c r="F13" s="2" t="s">
        <v>24</v>
      </c>
      <c r="G13" s="2" t="s">
        <v>25</v>
      </c>
      <c r="H13" s="2">
        <v>1</v>
      </c>
      <c r="I13" s="14">
        <v>0.05</v>
      </c>
      <c r="J13" s="2" t="str">
        <f>_xlfn.XLOOKUP(tbVendas[[#This Row],[SKU]],tbProdutos[SKU],tbProdutos[Produto])</f>
        <v>Notebook Basic</v>
      </c>
      <c r="K13" s="2" t="str">
        <f>_xlfn.XLOOKUP(tbVendas[[#This Row],[SKU]],tbProdutos[SKU],tbProdutos[Categoria])</f>
        <v>Informática</v>
      </c>
      <c r="L13" s="3">
        <f>_xlfn.XLOOKUP(tbVendas[[#This Row],[SKU]],tbProdutos[SKU],tbProdutos[Preco_Unitario])</f>
        <v>2800</v>
      </c>
      <c r="M13" s="3">
        <f>tbVendas[[#This Row],[Quantidade]]*tbVendas[[#This Row],[Preco_Unitario]]</f>
        <v>2800</v>
      </c>
      <c r="N13" s="3">
        <f>tbVendas[[#This Row],[Faturamento_Bruto]]*tbVendas[[#This Row],[Desconto_Pct]]</f>
        <v>140</v>
      </c>
      <c r="O13" s="3">
        <f>tbVendas[[#This Row],[Faturamento_Bruto]]-tbVendas[[#This Row],[Valor_Desconto]]</f>
        <v>2660</v>
      </c>
      <c r="P13" s="2" t="str">
        <f>IF(tbVendas[[#This Row],[Faturamento_Liquido]]&gt;=2000,"Alto Valor","Regular")</f>
        <v>Alto Valor</v>
      </c>
    </row>
    <row r="14" spans="1:16">
      <c r="A14" s="12">
        <v>46049</v>
      </c>
      <c r="B14" s="13">
        <f>DATE(YEAR(tbVendas[[#This Row],[Data]]),MONTH(tbVendas[[#This Row],[Data]]),1)</f>
        <v>46023</v>
      </c>
      <c r="C14" s="2" t="s">
        <v>43</v>
      </c>
      <c r="D14" s="2" t="s">
        <v>17</v>
      </c>
      <c r="E14" s="2" t="s">
        <v>18</v>
      </c>
      <c r="F14" s="2" t="s">
        <v>19</v>
      </c>
      <c r="G14" s="2" t="s">
        <v>25</v>
      </c>
      <c r="H14" s="2">
        <v>4</v>
      </c>
      <c r="I14" s="14">
        <v>0.1</v>
      </c>
      <c r="J14" s="2" t="str">
        <f>_xlfn.XLOOKUP(tbVendas[[#This Row],[SKU]],tbProdutos[SKU],tbProdutos[Produto])</f>
        <v>Notebook Basic</v>
      </c>
      <c r="K14" s="2" t="str">
        <f>_xlfn.XLOOKUP(tbVendas[[#This Row],[SKU]],tbProdutos[SKU],tbProdutos[Categoria])</f>
        <v>Informática</v>
      </c>
      <c r="L14" s="3">
        <f>_xlfn.XLOOKUP(tbVendas[[#This Row],[SKU]],tbProdutos[SKU],tbProdutos[Preco_Unitario])</f>
        <v>2800</v>
      </c>
      <c r="M14" s="3">
        <f>tbVendas[[#This Row],[Quantidade]]*tbVendas[[#This Row],[Preco_Unitario]]</f>
        <v>11200</v>
      </c>
      <c r="N14" s="3">
        <f>tbVendas[[#This Row],[Faturamento_Bruto]]*tbVendas[[#This Row],[Desconto_Pct]]</f>
        <v>1120</v>
      </c>
      <c r="O14" s="3">
        <f>tbVendas[[#This Row],[Faturamento_Bruto]]-tbVendas[[#This Row],[Valor_Desconto]]</f>
        <v>10080</v>
      </c>
      <c r="P14" s="2" t="str">
        <f>IF(tbVendas[[#This Row],[Faturamento_Liquido]]&gt;=2000,"Alto Valor","Regular")</f>
        <v>Alto Valor</v>
      </c>
    </row>
    <row r="15" spans="1:16">
      <c r="A15" s="12">
        <v>46051</v>
      </c>
      <c r="B15" s="13">
        <f>DATE(YEAR(tbVendas[[#This Row],[Data]]),MONTH(tbVendas[[#This Row],[Data]]),1)</f>
        <v>46023</v>
      </c>
      <c r="C15" s="2" t="s">
        <v>44</v>
      </c>
      <c r="D15" s="2" t="s">
        <v>31</v>
      </c>
      <c r="E15" s="2" t="s">
        <v>32</v>
      </c>
      <c r="F15" s="2" t="s">
        <v>36</v>
      </c>
      <c r="G15" s="2" t="s">
        <v>25</v>
      </c>
      <c r="H15" s="2">
        <v>4</v>
      </c>
      <c r="I15" s="14">
        <v>0</v>
      </c>
      <c r="J15" s="2" t="str">
        <f>_xlfn.XLOOKUP(tbVendas[[#This Row],[SKU]],tbProdutos[SKU],tbProdutos[Produto])</f>
        <v>Notebook Basic</v>
      </c>
      <c r="K15" s="2" t="str">
        <f>_xlfn.XLOOKUP(tbVendas[[#This Row],[SKU]],tbProdutos[SKU],tbProdutos[Categoria])</f>
        <v>Informática</v>
      </c>
      <c r="L15" s="3">
        <f>_xlfn.XLOOKUP(tbVendas[[#This Row],[SKU]],tbProdutos[SKU],tbProdutos[Preco_Unitario])</f>
        <v>2800</v>
      </c>
      <c r="M15" s="3">
        <f>tbVendas[[#This Row],[Quantidade]]*tbVendas[[#This Row],[Preco_Unitario]]</f>
        <v>11200</v>
      </c>
      <c r="N15" s="3">
        <f>tbVendas[[#This Row],[Faturamento_Bruto]]*tbVendas[[#This Row],[Desconto_Pct]]</f>
        <v>0</v>
      </c>
      <c r="O15" s="3">
        <f>tbVendas[[#This Row],[Faturamento_Bruto]]-tbVendas[[#This Row],[Valor_Desconto]]</f>
        <v>11200</v>
      </c>
      <c r="P15" s="2" t="str">
        <f>IF(tbVendas[[#This Row],[Faturamento_Liquido]]&gt;=2000,"Alto Valor","Regular")</f>
        <v>Alto Valor</v>
      </c>
    </row>
    <row r="16" spans="1:16">
      <c r="A16" s="12">
        <v>46053</v>
      </c>
      <c r="B16" s="13">
        <f>DATE(YEAR(tbVendas[[#This Row],[Data]]),MONTH(tbVendas[[#This Row],[Data]]),1)</f>
        <v>46023</v>
      </c>
      <c r="C16" s="2" t="s">
        <v>45</v>
      </c>
      <c r="D16" s="2" t="s">
        <v>40</v>
      </c>
      <c r="E16" s="2" t="s">
        <v>41</v>
      </c>
      <c r="F16" s="2" t="s">
        <v>19</v>
      </c>
      <c r="G16" s="2" t="s">
        <v>27</v>
      </c>
      <c r="H16" s="2">
        <v>3</v>
      </c>
      <c r="I16" s="14">
        <v>0.05</v>
      </c>
      <c r="J16" s="2" t="str">
        <f>_xlfn.XLOOKUP(tbVendas[[#This Row],[SKU]],tbProdutos[SKU],tbProdutos[Produto])</f>
        <v>Headset Pro</v>
      </c>
      <c r="K16" s="2" t="str">
        <f>_xlfn.XLOOKUP(tbVendas[[#This Row],[SKU]],tbProdutos[SKU],tbProdutos[Categoria])</f>
        <v>Acessórios</v>
      </c>
      <c r="L16" s="3">
        <f>_xlfn.XLOOKUP(tbVendas[[#This Row],[SKU]],tbProdutos[SKU],tbProdutos[Preco_Unitario])</f>
        <v>220</v>
      </c>
      <c r="M16" s="3">
        <f>tbVendas[[#This Row],[Quantidade]]*tbVendas[[#This Row],[Preco_Unitario]]</f>
        <v>660</v>
      </c>
      <c r="N16" s="3">
        <f>tbVendas[[#This Row],[Faturamento_Bruto]]*tbVendas[[#This Row],[Desconto_Pct]]</f>
        <v>33</v>
      </c>
      <c r="O16" s="3">
        <f>tbVendas[[#This Row],[Faturamento_Bruto]]-tbVendas[[#This Row],[Valor_Desconto]]</f>
        <v>627</v>
      </c>
      <c r="P16" s="2" t="str">
        <f>IF(tbVendas[[#This Row],[Faturamento_Liquido]]&gt;=2000,"Alto Valor","Regular")</f>
        <v>Regular</v>
      </c>
    </row>
    <row r="17" spans="1:16">
      <c r="A17" s="12">
        <v>46060</v>
      </c>
      <c r="B17" s="13">
        <f>DATE(YEAR(tbVendas[[#This Row],[Data]]),MONTH(tbVendas[[#This Row],[Data]]),1)</f>
        <v>46054</v>
      </c>
      <c r="C17" s="2" t="s">
        <v>46</v>
      </c>
      <c r="D17" s="2" t="s">
        <v>22</v>
      </c>
      <c r="E17" s="2" t="s">
        <v>23</v>
      </c>
      <c r="F17" s="2" t="s">
        <v>24</v>
      </c>
      <c r="G17" s="2" t="s">
        <v>20</v>
      </c>
      <c r="H17" s="2">
        <v>5</v>
      </c>
      <c r="I17" s="14">
        <v>0.1</v>
      </c>
      <c r="J17" s="2" t="str">
        <f>_xlfn.XLOOKUP(tbVendas[[#This Row],[SKU]],tbProdutos[SKU],tbProdutos[Produto])</f>
        <v>Monitor 24</v>
      </c>
      <c r="K17" s="2" t="str">
        <f>_xlfn.XLOOKUP(tbVendas[[#This Row],[SKU]],tbProdutos[SKU],tbProdutos[Categoria])</f>
        <v>Informática</v>
      </c>
      <c r="L17" s="3">
        <f>_xlfn.XLOOKUP(tbVendas[[#This Row],[SKU]],tbProdutos[SKU],tbProdutos[Preco_Unitario])</f>
        <v>850</v>
      </c>
      <c r="M17" s="3">
        <f>tbVendas[[#This Row],[Quantidade]]*tbVendas[[#This Row],[Preco_Unitario]]</f>
        <v>4250</v>
      </c>
      <c r="N17" s="3">
        <f>tbVendas[[#This Row],[Faturamento_Bruto]]*tbVendas[[#This Row],[Desconto_Pct]]</f>
        <v>425</v>
      </c>
      <c r="O17" s="3">
        <f>tbVendas[[#This Row],[Faturamento_Bruto]]-tbVendas[[#This Row],[Valor_Desconto]]</f>
        <v>3825</v>
      </c>
      <c r="P17" s="2" t="str">
        <f>IF(tbVendas[[#This Row],[Faturamento_Liquido]]&gt;=2000,"Alto Valor","Regular")</f>
        <v>Alto Valor</v>
      </c>
    </row>
    <row r="18" spans="1:16">
      <c r="A18" s="12">
        <v>46064</v>
      </c>
      <c r="B18" s="13">
        <f>DATE(YEAR(tbVendas[[#This Row],[Data]]),MONTH(tbVendas[[#This Row],[Data]]),1)</f>
        <v>46054</v>
      </c>
      <c r="C18" s="2" t="s">
        <v>47</v>
      </c>
      <c r="D18" s="2" t="s">
        <v>22</v>
      </c>
      <c r="E18" s="2" t="s">
        <v>23</v>
      </c>
      <c r="F18" s="2" t="s">
        <v>24</v>
      </c>
      <c r="G18" s="2" t="s">
        <v>27</v>
      </c>
      <c r="H18" s="2">
        <v>2</v>
      </c>
      <c r="I18" s="14">
        <v>0</v>
      </c>
      <c r="J18" s="2" t="str">
        <f>_xlfn.XLOOKUP(tbVendas[[#This Row],[SKU]],tbProdutos[SKU],tbProdutos[Produto])</f>
        <v>Headset Pro</v>
      </c>
      <c r="K18" s="2" t="str">
        <f>_xlfn.XLOOKUP(tbVendas[[#This Row],[SKU]],tbProdutos[SKU],tbProdutos[Categoria])</f>
        <v>Acessórios</v>
      </c>
      <c r="L18" s="3">
        <f>_xlfn.XLOOKUP(tbVendas[[#This Row],[SKU]],tbProdutos[SKU],tbProdutos[Preco_Unitario])</f>
        <v>220</v>
      </c>
      <c r="M18" s="3">
        <f>tbVendas[[#This Row],[Quantidade]]*tbVendas[[#This Row],[Preco_Unitario]]</f>
        <v>440</v>
      </c>
      <c r="N18" s="3">
        <f>tbVendas[[#This Row],[Faturamento_Bruto]]*tbVendas[[#This Row],[Desconto_Pct]]</f>
        <v>0</v>
      </c>
      <c r="O18" s="3">
        <f>tbVendas[[#This Row],[Faturamento_Bruto]]-tbVendas[[#This Row],[Valor_Desconto]]</f>
        <v>440</v>
      </c>
      <c r="P18" s="2" t="str">
        <f>IF(tbVendas[[#This Row],[Faturamento_Liquido]]&gt;=2000,"Alto Valor","Regular")</f>
        <v>Regular</v>
      </c>
    </row>
    <row r="19" spans="1:16">
      <c r="A19" s="12">
        <v>46079</v>
      </c>
      <c r="B19" s="13">
        <f>DATE(YEAR(tbVendas[[#This Row],[Data]]),MONTH(tbVendas[[#This Row],[Data]]),1)</f>
        <v>46054</v>
      </c>
      <c r="C19" s="2" t="s">
        <v>48</v>
      </c>
      <c r="D19" s="2" t="s">
        <v>40</v>
      </c>
      <c r="E19" s="2" t="s">
        <v>41</v>
      </c>
      <c r="F19" s="2" t="s">
        <v>36</v>
      </c>
      <c r="G19" s="2" t="s">
        <v>29</v>
      </c>
      <c r="H19" s="2">
        <v>4</v>
      </c>
      <c r="I19" s="14">
        <v>0.15</v>
      </c>
      <c r="J19" s="2" t="str">
        <f>_xlfn.XLOOKUP(tbVendas[[#This Row],[SKU]],tbProdutos[SKU],tbProdutos[Produto])</f>
        <v>Mesa Compacta</v>
      </c>
      <c r="K19" s="2" t="str">
        <f>_xlfn.XLOOKUP(tbVendas[[#This Row],[SKU]],tbProdutos[SKU],tbProdutos[Categoria])</f>
        <v>Escritório</v>
      </c>
      <c r="L19" s="3">
        <f>_xlfn.XLOOKUP(tbVendas[[#This Row],[SKU]],tbProdutos[SKU],tbProdutos[Preco_Unitario])</f>
        <v>520</v>
      </c>
      <c r="M19" s="3">
        <f>tbVendas[[#This Row],[Quantidade]]*tbVendas[[#This Row],[Preco_Unitario]]</f>
        <v>2080</v>
      </c>
      <c r="N19" s="3">
        <f>tbVendas[[#This Row],[Faturamento_Bruto]]*tbVendas[[#This Row],[Desconto_Pct]]</f>
        <v>312</v>
      </c>
      <c r="O19" s="3">
        <f>tbVendas[[#This Row],[Faturamento_Bruto]]-tbVendas[[#This Row],[Valor_Desconto]]</f>
        <v>1768</v>
      </c>
      <c r="P19" s="2" t="str">
        <f>IF(tbVendas[[#This Row],[Faturamento_Liquido]]&gt;=2000,"Alto Valor","Regular")</f>
        <v>Regular</v>
      </c>
    </row>
    <row r="20" spans="1:16">
      <c r="A20" s="12">
        <v>46079</v>
      </c>
      <c r="B20" s="13">
        <f>DATE(YEAR(tbVendas[[#This Row],[Data]]),MONTH(tbVendas[[#This Row],[Data]]),1)</f>
        <v>46054</v>
      </c>
      <c r="C20" s="2" t="s">
        <v>49</v>
      </c>
      <c r="D20" s="2" t="s">
        <v>31</v>
      </c>
      <c r="E20" s="2" t="s">
        <v>32</v>
      </c>
      <c r="F20" s="2" t="s">
        <v>36</v>
      </c>
      <c r="G20" s="2" t="s">
        <v>50</v>
      </c>
      <c r="H20" s="2">
        <v>2</v>
      </c>
      <c r="I20" s="14">
        <v>0.1</v>
      </c>
      <c r="J20" s="2" t="str">
        <f>_xlfn.XLOOKUP(tbVendas[[#This Row],[SKU]],tbProdutos[SKU],tbProdutos[Produto])</f>
        <v>Cadeira Office</v>
      </c>
      <c r="K20" s="2" t="str">
        <f>_xlfn.XLOOKUP(tbVendas[[#This Row],[SKU]],tbProdutos[SKU],tbProdutos[Categoria])</f>
        <v>Escritório</v>
      </c>
      <c r="L20" s="3">
        <f>_xlfn.XLOOKUP(tbVendas[[#This Row],[SKU]],tbProdutos[SKU],tbProdutos[Preco_Unitario])</f>
        <v>690</v>
      </c>
      <c r="M20" s="3">
        <f>tbVendas[[#This Row],[Quantidade]]*tbVendas[[#This Row],[Preco_Unitario]]</f>
        <v>1380</v>
      </c>
      <c r="N20" s="3">
        <f>tbVendas[[#This Row],[Faturamento_Bruto]]*tbVendas[[#This Row],[Desconto_Pct]]</f>
        <v>138</v>
      </c>
      <c r="O20" s="3">
        <f>tbVendas[[#This Row],[Faturamento_Bruto]]-tbVendas[[#This Row],[Valor_Desconto]]</f>
        <v>1242</v>
      </c>
      <c r="P20" s="2" t="str">
        <f>IF(tbVendas[[#This Row],[Faturamento_Liquido]]&gt;=2000,"Alto Valor","Regular")</f>
        <v>Regular</v>
      </c>
    </row>
    <row r="21" spans="1:16">
      <c r="A21" s="12">
        <v>46079</v>
      </c>
      <c r="B21" s="13">
        <f>DATE(YEAR(tbVendas[[#This Row],[Data]]),MONTH(tbVendas[[#This Row],[Data]]),1)</f>
        <v>46054</v>
      </c>
      <c r="C21" s="2" t="s">
        <v>51</v>
      </c>
      <c r="D21" s="2" t="s">
        <v>31</v>
      </c>
      <c r="E21" s="2" t="s">
        <v>32</v>
      </c>
      <c r="F21" s="2" t="s">
        <v>24</v>
      </c>
      <c r="G21" s="2" t="s">
        <v>50</v>
      </c>
      <c r="H21" s="2">
        <v>2</v>
      </c>
      <c r="I21" s="14">
        <v>0.15</v>
      </c>
      <c r="J21" s="2" t="str">
        <f>_xlfn.XLOOKUP(tbVendas[[#This Row],[SKU]],tbProdutos[SKU],tbProdutos[Produto])</f>
        <v>Cadeira Office</v>
      </c>
      <c r="K21" s="2" t="str">
        <f>_xlfn.XLOOKUP(tbVendas[[#This Row],[SKU]],tbProdutos[SKU],tbProdutos[Categoria])</f>
        <v>Escritório</v>
      </c>
      <c r="L21" s="3">
        <f>_xlfn.XLOOKUP(tbVendas[[#This Row],[SKU]],tbProdutos[SKU],tbProdutos[Preco_Unitario])</f>
        <v>690</v>
      </c>
      <c r="M21" s="3">
        <f>tbVendas[[#This Row],[Quantidade]]*tbVendas[[#This Row],[Preco_Unitario]]</f>
        <v>1380</v>
      </c>
      <c r="N21" s="3">
        <f>tbVendas[[#This Row],[Faturamento_Bruto]]*tbVendas[[#This Row],[Desconto_Pct]]</f>
        <v>207</v>
      </c>
      <c r="O21" s="3">
        <f>tbVendas[[#This Row],[Faturamento_Bruto]]-tbVendas[[#This Row],[Valor_Desconto]]</f>
        <v>1173</v>
      </c>
      <c r="P21" s="2" t="str">
        <f>IF(tbVendas[[#This Row],[Faturamento_Liquido]]&gt;=2000,"Alto Valor","Regular")</f>
        <v>Regular</v>
      </c>
    </row>
    <row r="22" spans="1:16">
      <c r="A22" s="12">
        <v>46081</v>
      </c>
      <c r="B22" s="13">
        <f>DATE(YEAR(tbVendas[[#This Row],[Data]]),MONTH(tbVendas[[#This Row],[Data]]),1)</f>
        <v>46054</v>
      </c>
      <c r="C22" s="2" t="s">
        <v>52</v>
      </c>
      <c r="D22" s="2" t="s">
        <v>22</v>
      </c>
      <c r="E22" s="2" t="s">
        <v>23</v>
      </c>
      <c r="F22" s="2" t="s">
        <v>36</v>
      </c>
      <c r="G22" s="2" t="s">
        <v>53</v>
      </c>
      <c r="H22" s="2">
        <v>5</v>
      </c>
      <c r="I22" s="14">
        <v>0.1</v>
      </c>
      <c r="J22" s="2" t="str">
        <f>_xlfn.XLOOKUP(tbVendas[[#This Row],[SKU]],tbProdutos[SKU],tbProdutos[Produto])</f>
        <v>Mouse Wireless</v>
      </c>
      <c r="K22" s="2" t="str">
        <f>_xlfn.XLOOKUP(tbVendas[[#This Row],[SKU]],tbProdutos[SKU],tbProdutos[Categoria])</f>
        <v>Acessórios</v>
      </c>
      <c r="L22" s="3">
        <f>_xlfn.XLOOKUP(tbVendas[[#This Row],[SKU]],tbProdutos[SKU],tbProdutos[Preco_Unitario])</f>
        <v>95</v>
      </c>
      <c r="M22" s="3">
        <f>tbVendas[[#This Row],[Quantidade]]*tbVendas[[#This Row],[Preco_Unitario]]</f>
        <v>475</v>
      </c>
      <c r="N22" s="3">
        <f>tbVendas[[#This Row],[Faturamento_Bruto]]*tbVendas[[#This Row],[Desconto_Pct]]</f>
        <v>47.5</v>
      </c>
      <c r="O22" s="3">
        <f>tbVendas[[#This Row],[Faturamento_Bruto]]-tbVendas[[#This Row],[Valor_Desconto]]</f>
        <v>427.5</v>
      </c>
      <c r="P22" s="2" t="str">
        <f>IF(tbVendas[[#This Row],[Faturamento_Liquido]]&gt;=2000,"Alto Valor","Regular")</f>
        <v>Regular</v>
      </c>
    </row>
    <row r="23" spans="1:16">
      <c r="A23" s="12">
        <v>46082</v>
      </c>
      <c r="B23" s="13">
        <f>DATE(YEAR(tbVendas[[#This Row],[Data]]),MONTH(tbVendas[[#This Row],[Data]]),1)</f>
        <v>46082</v>
      </c>
      <c r="C23" s="2" t="s">
        <v>54</v>
      </c>
      <c r="D23" s="2" t="s">
        <v>40</v>
      </c>
      <c r="E23" s="2" t="s">
        <v>41</v>
      </c>
      <c r="F23" s="2" t="s">
        <v>36</v>
      </c>
      <c r="G23" s="2" t="s">
        <v>25</v>
      </c>
      <c r="H23" s="2">
        <v>3</v>
      </c>
      <c r="I23" s="14">
        <v>0</v>
      </c>
      <c r="J23" s="2" t="str">
        <f>_xlfn.XLOOKUP(tbVendas[[#This Row],[SKU]],tbProdutos[SKU],tbProdutos[Produto])</f>
        <v>Notebook Basic</v>
      </c>
      <c r="K23" s="2" t="str">
        <f>_xlfn.XLOOKUP(tbVendas[[#This Row],[SKU]],tbProdutos[SKU],tbProdutos[Categoria])</f>
        <v>Informática</v>
      </c>
      <c r="L23" s="3">
        <f>_xlfn.XLOOKUP(tbVendas[[#This Row],[SKU]],tbProdutos[SKU],tbProdutos[Preco_Unitario])</f>
        <v>2800</v>
      </c>
      <c r="M23" s="3">
        <f>tbVendas[[#This Row],[Quantidade]]*tbVendas[[#This Row],[Preco_Unitario]]</f>
        <v>8400</v>
      </c>
      <c r="N23" s="3">
        <f>tbVendas[[#This Row],[Faturamento_Bruto]]*tbVendas[[#This Row],[Desconto_Pct]]</f>
        <v>0</v>
      </c>
      <c r="O23" s="3">
        <f>tbVendas[[#This Row],[Faturamento_Bruto]]-tbVendas[[#This Row],[Valor_Desconto]]</f>
        <v>8400</v>
      </c>
      <c r="P23" s="2" t="str">
        <f>IF(tbVendas[[#This Row],[Faturamento_Liquido]]&gt;=2000,"Alto Valor","Regular")</f>
        <v>Alto Valor</v>
      </c>
    </row>
    <row r="24" spans="1:16">
      <c r="A24" s="12">
        <v>46087</v>
      </c>
      <c r="B24" s="13">
        <f>DATE(YEAR(tbVendas[[#This Row],[Data]]),MONTH(tbVendas[[#This Row],[Data]]),1)</f>
        <v>46082</v>
      </c>
      <c r="C24" s="2" t="s">
        <v>55</v>
      </c>
      <c r="D24" s="2" t="s">
        <v>31</v>
      </c>
      <c r="E24" s="2" t="s">
        <v>32</v>
      </c>
      <c r="F24" s="2" t="s">
        <v>19</v>
      </c>
      <c r="G24" s="2" t="s">
        <v>20</v>
      </c>
      <c r="H24" s="2">
        <v>2</v>
      </c>
      <c r="I24" s="14">
        <v>0</v>
      </c>
      <c r="J24" s="2" t="str">
        <f>_xlfn.XLOOKUP(tbVendas[[#This Row],[SKU]],tbProdutos[SKU],tbProdutos[Produto])</f>
        <v>Monitor 24</v>
      </c>
      <c r="K24" s="2" t="str">
        <f>_xlfn.XLOOKUP(tbVendas[[#This Row],[SKU]],tbProdutos[SKU],tbProdutos[Categoria])</f>
        <v>Informática</v>
      </c>
      <c r="L24" s="3">
        <f>_xlfn.XLOOKUP(tbVendas[[#This Row],[SKU]],tbProdutos[SKU],tbProdutos[Preco_Unitario])</f>
        <v>850</v>
      </c>
      <c r="M24" s="3">
        <f>tbVendas[[#This Row],[Quantidade]]*tbVendas[[#This Row],[Preco_Unitario]]</f>
        <v>1700</v>
      </c>
      <c r="N24" s="3">
        <f>tbVendas[[#This Row],[Faturamento_Bruto]]*tbVendas[[#This Row],[Desconto_Pct]]</f>
        <v>0</v>
      </c>
      <c r="O24" s="3">
        <f>tbVendas[[#This Row],[Faturamento_Bruto]]-tbVendas[[#This Row],[Valor_Desconto]]</f>
        <v>1700</v>
      </c>
      <c r="P24" s="2" t="str">
        <f>IF(tbVendas[[#This Row],[Faturamento_Liquido]]&gt;=2000,"Alto Valor","Regular")</f>
        <v>Regular</v>
      </c>
    </row>
    <row r="25" spans="1:16">
      <c r="A25" s="12">
        <v>46087</v>
      </c>
      <c r="B25" s="13">
        <f>DATE(YEAR(tbVendas[[#This Row],[Data]]),MONTH(tbVendas[[#This Row],[Data]]),1)</f>
        <v>46082</v>
      </c>
      <c r="C25" s="2" t="s">
        <v>56</v>
      </c>
      <c r="D25" s="2" t="s">
        <v>22</v>
      </c>
      <c r="E25" s="2" t="s">
        <v>23</v>
      </c>
      <c r="F25" s="2" t="s">
        <v>36</v>
      </c>
      <c r="G25" s="2" t="s">
        <v>53</v>
      </c>
      <c r="H25" s="2">
        <v>4</v>
      </c>
      <c r="I25" s="14">
        <v>0.05</v>
      </c>
      <c r="J25" s="2" t="str">
        <f>_xlfn.XLOOKUP(tbVendas[[#This Row],[SKU]],tbProdutos[SKU],tbProdutos[Produto])</f>
        <v>Mouse Wireless</v>
      </c>
      <c r="K25" s="2" t="str">
        <f>_xlfn.XLOOKUP(tbVendas[[#This Row],[SKU]],tbProdutos[SKU],tbProdutos[Categoria])</f>
        <v>Acessórios</v>
      </c>
      <c r="L25" s="3">
        <f>_xlfn.XLOOKUP(tbVendas[[#This Row],[SKU]],tbProdutos[SKU],tbProdutos[Preco_Unitario])</f>
        <v>95</v>
      </c>
      <c r="M25" s="3">
        <f>tbVendas[[#This Row],[Quantidade]]*tbVendas[[#This Row],[Preco_Unitario]]</f>
        <v>380</v>
      </c>
      <c r="N25" s="3">
        <f>tbVendas[[#This Row],[Faturamento_Bruto]]*tbVendas[[#This Row],[Desconto_Pct]]</f>
        <v>19</v>
      </c>
      <c r="O25" s="3">
        <f>tbVendas[[#This Row],[Faturamento_Bruto]]-tbVendas[[#This Row],[Valor_Desconto]]</f>
        <v>361</v>
      </c>
      <c r="P25" s="2" t="str">
        <f>IF(tbVendas[[#This Row],[Faturamento_Liquido]]&gt;=2000,"Alto Valor","Regular")</f>
        <v>Regular</v>
      </c>
    </row>
    <row r="26" spans="1:16">
      <c r="A26" s="12">
        <v>46088</v>
      </c>
      <c r="B26" s="13">
        <f>DATE(YEAR(tbVendas[[#This Row],[Data]]),MONTH(tbVendas[[#This Row],[Data]]),1)</f>
        <v>46082</v>
      </c>
      <c r="C26" s="2" t="s">
        <v>57</v>
      </c>
      <c r="D26" s="2" t="s">
        <v>17</v>
      </c>
      <c r="E26" s="2" t="s">
        <v>18</v>
      </c>
      <c r="F26" s="2" t="s">
        <v>24</v>
      </c>
      <c r="G26" s="2" t="s">
        <v>20</v>
      </c>
      <c r="H26" s="2">
        <v>2</v>
      </c>
      <c r="I26" s="14">
        <v>0.15</v>
      </c>
      <c r="J26" s="2" t="str">
        <f>_xlfn.XLOOKUP(tbVendas[[#This Row],[SKU]],tbProdutos[SKU],tbProdutos[Produto])</f>
        <v>Monitor 24</v>
      </c>
      <c r="K26" s="2" t="str">
        <f>_xlfn.XLOOKUP(tbVendas[[#This Row],[SKU]],tbProdutos[SKU],tbProdutos[Categoria])</f>
        <v>Informática</v>
      </c>
      <c r="L26" s="3">
        <f>_xlfn.XLOOKUP(tbVendas[[#This Row],[SKU]],tbProdutos[SKU],tbProdutos[Preco_Unitario])</f>
        <v>850</v>
      </c>
      <c r="M26" s="3">
        <f>tbVendas[[#This Row],[Quantidade]]*tbVendas[[#This Row],[Preco_Unitario]]</f>
        <v>1700</v>
      </c>
      <c r="N26" s="3">
        <f>tbVendas[[#This Row],[Faturamento_Bruto]]*tbVendas[[#This Row],[Desconto_Pct]]</f>
        <v>255</v>
      </c>
      <c r="O26" s="3">
        <f>tbVendas[[#This Row],[Faturamento_Bruto]]-tbVendas[[#This Row],[Valor_Desconto]]</f>
        <v>1445</v>
      </c>
      <c r="P26" s="2" t="str">
        <f>IF(tbVendas[[#This Row],[Faturamento_Liquido]]&gt;=2000,"Alto Valor","Regular")</f>
        <v>Regular</v>
      </c>
    </row>
    <row r="27" spans="1:16">
      <c r="A27" s="12">
        <v>46092</v>
      </c>
      <c r="B27" s="13">
        <f>DATE(YEAR(tbVendas[[#This Row],[Data]]),MONTH(tbVendas[[#This Row],[Data]]),1)</f>
        <v>46082</v>
      </c>
      <c r="C27" s="2" t="s">
        <v>58</v>
      </c>
      <c r="D27" s="2" t="s">
        <v>40</v>
      </c>
      <c r="E27" s="2" t="s">
        <v>41</v>
      </c>
      <c r="F27" s="2" t="s">
        <v>36</v>
      </c>
      <c r="G27" s="2" t="s">
        <v>50</v>
      </c>
      <c r="H27" s="2">
        <v>2</v>
      </c>
      <c r="I27" s="14">
        <v>0</v>
      </c>
      <c r="J27" s="2" t="str">
        <f>_xlfn.XLOOKUP(tbVendas[[#This Row],[SKU]],tbProdutos[SKU],tbProdutos[Produto])</f>
        <v>Cadeira Office</v>
      </c>
      <c r="K27" s="2" t="str">
        <f>_xlfn.XLOOKUP(tbVendas[[#This Row],[SKU]],tbProdutos[SKU],tbProdutos[Categoria])</f>
        <v>Escritório</v>
      </c>
      <c r="L27" s="3">
        <f>_xlfn.XLOOKUP(tbVendas[[#This Row],[SKU]],tbProdutos[SKU],tbProdutos[Preco_Unitario])</f>
        <v>690</v>
      </c>
      <c r="M27" s="3">
        <f>tbVendas[[#This Row],[Quantidade]]*tbVendas[[#This Row],[Preco_Unitario]]</f>
        <v>1380</v>
      </c>
      <c r="N27" s="3">
        <f>tbVendas[[#This Row],[Faturamento_Bruto]]*tbVendas[[#This Row],[Desconto_Pct]]</f>
        <v>0</v>
      </c>
      <c r="O27" s="3">
        <f>tbVendas[[#This Row],[Faturamento_Bruto]]-tbVendas[[#This Row],[Valor_Desconto]]</f>
        <v>1380</v>
      </c>
      <c r="P27" s="2" t="str">
        <f>IF(tbVendas[[#This Row],[Faturamento_Liquido]]&gt;=2000,"Alto Valor","Regular")</f>
        <v>Regular</v>
      </c>
    </row>
    <row r="28" spans="1:16">
      <c r="A28" s="12">
        <v>46096</v>
      </c>
      <c r="B28" s="13">
        <f>DATE(YEAR(tbVendas[[#This Row],[Data]]),MONTH(tbVendas[[#This Row],[Data]]),1)</f>
        <v>46082</v>
      </c>
      <c r="C28" s="2" t="s">
        <v>59</v>
      </c>
      <c r="D28" s="2" t="s">
        <v>40</v>
      </c>
      <c r="E28" s="2" t="s">
        <v>41</v>
      </c>
      <c r="F28" s="2" t="s">
        <v>24</v>
      </c>
      <c r="G28" s="2" t="s">
        <v>20</v>
      </c>
      <c r="H28" s="2">
        <v>2</v>
      </c>
      <c r="I28" s="14">
        <v>0.1</v>
      </c>
      <c r="J28" s="2" t="str">
        <f>_xlfn.XLOOKUP(tbVendas[[#This Row],[SKU]],tbProdutos[SKU],tbProdutos[Produto])</f>
        <v>Monitor 24</v>
      </c>
      <c r="K28" s="2" t="str">
        <f>_xlfn.XLOOKUP(tbVendas[[#This Row],[SKU]],tbProdutos[SKU],tbProdutos[Categoria])</f>
        <v>Informática</v>
      </c>
      <c r="L28" s="3">
        <f>_xlfn.XLOOKUP(tbVendas[[#This Row],[SKU]],tbProdutos[SKU],tbProdutos[Preco_Unitario])</f>
        <v>850</v>
      </c>
      <c r="M28" s="3">
        <f>tbVendas[[#This Row],[Quantidade]]*tbVendas[[#This Row],[Preco_Unitario]]</f>
        <v>1700</v>
      </c>
      <c r="N28" s="3">
        <f>tbVendas[[#This Row],[Faturamento_Bruto]]*tbVendas[[#This Row],[Desconto_Pct]]</f>
        <v>170</v>
      </c>
      <c r="O28" s="3">
        <f>tbVendas[[#This Row],[Faturamento_Bruto]]-tbVendas[[#This Row],[Valor_Desconto]]</f>
        <v>1530</v>
      </c>
      <c r="P28" s="2" t="str">
        <f>IF(tbVendas[[#This Row],[Faturamento_Liquido]]&gt;=2000,"Alto Valor","Regular")</f>
        <v>Regular</v>
      </c>
    </row>
    <row r="29" spans="1:16">
      <c r="A29" s="12">
        <v>46096</v>
      </c>
      <c r="B29" s="13">
        <f>DATE(YEAR(tbVendas[[#This Row],[Data]]),MONTH(tbVendas[[#This Row],[Data]]),1)</f>
        <v>46082</v>
      </c>
      <c r="C29" s="2" t="s">
        <v>60</v>
      </c>
      <c r="D29" s="2" t="s">
        <v>40</v>
      </c>
      <c r="E29" s="2" t="s">
        <v>41</v>
      </c>
      <c r="F29" s="2" t="s">
        <v>19</v>
      </c>
      <c r="G29" s="2" t="s">
        <v>53</v>
      </c>
      <c r="H29" s="2">
        <v>3</v>
      </c>
      <c r="I29" s="14">
        <v>0.05</v>
      </c>
      <c r="J29" s="2" t="str">
        <f>_xlfn.XLOOKUP(tbVendas[[#This Row],[SKU]],tbProdutos[SKU],tbProdutos[Produto])</f>
        <v>Mouse Wireless</v>
      </c>
      <c r="K29" s="2" t="str">
        <f>_xlfn.XLOOKUP(tbVendas[[#This Row],[SKU]],tbProdutos[SKU],tbProdutos[Categoria])</f>
        <v>Acessórios</v>
      </c>
      <c r="L29" s="3">
        <f>_xlfn.XLOOKUP(tbVendas[[#This Row],[SKU]],tbProdutos[SKU],tbProdutos[Preco_Unitario])</f>
        <v>95</v>
      </c>
      <c r="M29" s="3">
        <f>tbVendas[[#This Row],[Quantidade]]*tbVendas[[#This Row],[Preco_Unitario]]</f>
        <v>285</v>
      </c>
      <c r="N29" s="3">
        <f>tbVendas[[#This Row],[Faturamento_Bruto]]*tbVendas[[#This Row],[Desconto_Pct]]</f>
        <v>14.25</v>
      </c>
      <c r="O29" s="3">
        <f>tbVendas[[#This Row],[Faturamento_Bruto]]-tbVendas[[#This Row],[Valor_Desconto]]</f>
        <v>270.75</v>
      </c>
      <c r="P29" s="2" t="str">
        <f>IF(tbVendas[[#This Row],[Faturamento_Liquido]]&gt;=2000,"Alto Valor","Regular")</f>
        <v>Regular</v>
      </c>
    </row>
    <row r="30" spans="1:16">
      <c r="A30" s="12">
        <v>46116</v>
      </c>
      <c r="B30" s="13">
        <f>DATE(YEAR(tbVendas[[#This Row],[Data]]),MONTH(tbVendas[[#This Row],[Data]]),1)</f>
        <v>46113</v>
      </c>
      <c r="C30" s="2" t="s">
        <v>61</v>
      </c>
      <c r="D30" s="2" t="s">
        <v>22</v>
      </c>
      <c r="E30" s="2" t="s">
        <v>23</v>
      </c>
      <c r="F30" s="2" t="s">
        <v>19</v>
      </c>
      <c r="G30" s="2" t="s">
        <v>27</v>
      </c>
      <c r="H30" s="2">
        <v>5</v>
      </c>
      <c r="I30" s="14">
        <v>0.1</v>
      </c>
      <c r="J30" s="2" t="str">
        <f>_xlfn.XLOOKUP(tbVendas[[#This Row],[SKU]],tbProdutos[SKU],tbProdutos[Produto])</f>
        <v>Headset Pro</v>
      </c>
      <c r="K30" s="2" t="str">
        <f>_xlfn.XLOOKUP(tbVendas[[#This Row],[SKU]],tbProdutos[SKU],tbProdutos[Categoria])</f>
        <v>Acessórios</v>
      </c>
      <c r="L30" s="3">
        <f>_xlfn.XLOOKUP(tbVendas[[#This Row],[SKU]],tbProdutos[SKU],tbProdutos[Preco_Unitario])</f>
        <v>220</v>
      </c>
      <c r="M30" s="3">
        <f>tbVendas[[#This Row],[Quantidade]]*tbVendas[[#This Row],[Preco_Unitario]]</f>
        <v>1100</v>
      </c>
      <c r="N30" s="3">
        <f>tbVendas[[#This Row],[Faturamento_Bruto]]*tbVendas[[#This Row],[Desconto_Pct]]</f>
        <v>110</v>
      </c>
      <c r="O30" s="3">
        <f>tbVendas[[#This Row],[Faturamento_Bruto]]-tbVendas[[#This Row],[Valor_Desconto]]</f>
        <v>990</v>
      </c>
      <c r="P30" s="2" t="str">
        <f>IF(tbVendas[[#This Row],[Faturamento_Liquido]]&gt;=2000,"Alto Valor","Regular")</f>
        <v>Regular</v>
      </c>
    </row>
    <row r="31" spans="1:16">
      <c r="A31" s="12">
        <v>46117</v>
      </c>
      <c r="B31" s="13">
        <f>DATE(YEAR(tbVendas[[#This Row],[Data]]),MONTH(tbVendas[[#This Row],[Data]]),1)</f>
        <v>46113</v>
      </c>
      <c r="C31" s="2" t="s">
        <v>62</v>
      </c>
      <c r="D31" s="2" t="s">
        <v>40</v>
      </c>
      <c r="E31" s="2" t="s">
        <v>41</v>
      </c>
      <c r="F31" s="2" t="s">
        <v>19</v>
      </c>
      <c r="G31" s="2" t="s">
        <v>20</v>
      </c>
      <c r="H31" s="2">
        <v>2</v>
      </c>
      <c r="I31" s="14">
        <v>0.15</v>
      </c>
      <c r="J31" s="2" t="str">
        <f>_xlfn.XLOOKUP(tbVendas[[#This Row],[SKU]],tbProdutos[SKU],tbProdutos[Produto])</f>
        <v>Monitor 24</v>
      </c>
      <c r="K31" s="2" t="str">
        <f>_xlfn.XLOOKUP(tbVendas[[#This Row],[SKU]],tbProdutos[SKU],tbProdutos[Categoria])</f>
        <v>Informática</v>
      </c>
      <c r="L31" s="3">
        <f>_xlfn.XLOOKUP(tbVendas[[#This Row],[SKU]],tbProdutos[SKU],tbProdutos[Preco_Unitario])</f>
        <v>850</v>
      </c>
      <c r="M31" s="3">
        <f>tbVendas[[#This Row],[Quantidade]]*tbVendas[[#This Row],[Preco_Unitario]]</f>
        <v>1700</v>
      </c>
      <c r="N31" s="3">
        <f>tbVendas[[#This Row],[Faturamento_Bruto]]*tbVendas[[#This Row],[Desconto_Pct]]</f>
        <v>255</v>
      </c>
      <c r="O31" s="3">
        <f>tbVendas[[#This Row],[Faturamento_Bruto]]-tbVendas[[#This Row],[Valor_Desconto]]</f>
        <v>1445</v>
      </c>
      <c r="P31" s="2" t="str">
        <f>IF(tbVendas[[#This Row],[Faturamento_Liquido]]&gt;=2000,"Alto Valor","Regular")</f>
        <v>Regular</v>
      </c>
    </row>
    <row r="32" spans="1:16">
      <c r="A32" s="12">
        <v>46119</v>
      </c>
      <c r="B32" s="13">
        <f>DATE(YEAR(tbVendas[[#This Row],[Data]]),MONTH(tbVendas[[#This Row],[Data]]),1)</f>
        <v>46113</v>
      </c>
      <c r="C32" s="2" t="s">
        <v>63</v>
      </c>
      <c r="D32" s="2" t="s">
        <v>31</v>
      </c>
      <c r="E32" s="2" t="s">
        <v>32</v>
      </c>
      <c r="F32" s="2" t="s">
        <v>24</v>
      </c>
      <c r="G32" s="2" t="s">
        <v>27</v>
      </c>
      <c r="H32" s="2">
        <v>2</v>
      </c>
      <c r="I32" s="14">
        <v>0.1</v>
      </c>
      <c r="J32" s="2" t="str">
        <f>_xlfn.XLOOKUP(tbVendas[[#This Row],[SKU]],tbProdutos[SKU],tbProdutos[Produto])</f>
        <v>Headset Pro</v>
      </c>
      <c r="K32" s="2" t="str">
        <f>_xlfn.XLOOKUP(tbVendas[[#This Row],[SKU]],tbProdutos[SKU],tbProdutos[Categoria])</f>
        <v>Acessórios</v>
      </c>
      <c r="L32" s="3">
        <f>_xlfn.XLOOKUP(tbVendas[[#This Row],[SKU]],tbProdutos[SKU],tbProdutos[Preco_Unitario])</f>
        <v>220</v>
      </c>
      <c r="M32" s="3">
        <f>tbVendas[[#This Row],[Quantidade]]*tbVendas[[#This Row],[Preco_Unitario]]</f>
        <v>440</v>
      </c>
      <c r="N32" s="3">
        <f>tbVendas[[#This Row],[Faturamento_Bruto]]*tbVendas[[#This Row],[Desconto_Pct]]</f>
        <v>44</v>
      </c>
      <c r="O32" s="3">
        <f>tbVendas[[#This Row],[Faturamento_Bruto]]-tbVendas[[#This Row],[Valor_Desconto]]</f>
        <v>396</v>
      </c>
      <c r="P32" s="2" t="str">
        <f>IF(tbVendas[[#This Row],[Faturamento_Liquido]]&gt;=2000,"Alto Valor","Regular")</f>
        <v>Regular</v>
      </c>
    </row>
    <row r="33" spans="1:16">
      <c r="A33" s="12">
        <v>46121</v>
      </c>
      <c r="B33" s="13">
        <f>DATE(YEAR(tbVendas[[#This Row],[Data]]),MONTH(tbVendas[[#This Row],[Data]]),1)</f>
        <v>46113</v>
      </c>
      <c r="C33" s="2" t="s">
        <v>64</v>
      </c>
      <c r="D33" s="2" t="s">
        <v>40</v>
      </c>
      <c r="E33" s="2" t="s">
        <v>41</v>
      </c>
      <c r="F33" s="2" t="s">
        <v>36</v>
      </c>
      <c r="G33" s="2" t="s">
        <v>25</v>
      </c>
      <c r="H33" s="2">
        <v>5</v>
      </c>
      <c r="I33" s="14">
        <v>0.1</v>
      </c>
      <c r="J33" s="2" t="str">
        <f>_xlfn.XLOOKUP(tbVendas[[#This Row],[SKU]],tbProdutos[SKU],tbProdutos[Produto])</f>
        <v>Notebook Basic</v>
      </c>
      <c r="K33" s="2" t="str">
        <f>_xlfn.XLOOKUP(tbVendas[[#This Row],[SKU]],tbProdutos[SKU],tbProdutos[Categoria])</f>
        <v>Informática</v>
      </c>
      <c r="L33" s="3">
        <f>_xlfn.XLOOKUP(tbVendas[[#This Row],[SKU]],tbProdutos[SKU],tbProdutos[Preco_Unitario])</f>
        <v>2800</v>
      </c>
      <c r="M33" s="3">
        <f>tbVendas[[#This Row],[Quantidade]]*tbVendas[[#This Row],[Preco_Unitario]]</f>
        <v>14000</v>
      </c>
      <c r="N33" s="3">
        <f>tbVendas[[#This Row],[Faturamento_Bruto]]*tbVendas[[#This Row],[Desconto_Pct]]</f>
        <v>1400</v>
      </c>
      <c r="O33" s="3">
        <f>tbVendas[[#This Row],[Faturamento_Bruto]]-tbVendas[[#This Row],[Valor_Desconto]]</f>
        <v>12600</v>
      </c>
      <c r="P33" s="2" t="str">
        <f>IF(tbVendas[[#This Row],[Faturamento_Liquido]]&gt;=2000,"Alto Valor","Regular")</f>
        <v>Alto Valor</v>
      </c>
    </row>
    <row r="34" spans="1:16">
      <c r="A34" s="12">
        <v>46123</v>
      </c>
      <c r="B34" s="13">
        <f>DATE(YEAR(tbVendas[[#This Row],[Data]]),MONTH(tbVendas[[#This Row],[Data]]),1)</f>
        <v>46113</v>
      </c>
      <c r="C34" s="2" t="s">
        <v>65</v>
      </c>
      <c r="D34" s="2" t="s">
        <v>17</v>
      </c>
      <c r="E34" s="2" t="s">
        <v>18</v>
      </c>
      <c r="F34" s="2" t="s">
        <v>19</v>
      </c>
      <c r="G34" s="2" t="s">
        <v>53</v>
      </c>
      <c r="H34" s="2">
        <v>5</v>
      </c>
      <c r="I34" s="14">
        <v>0.15</v>
      </c>
      <c r="J34" s="2" t="str">
        <f>_xlfn.XLOOKUP(tbVendas[[#This Row],[SKU]],tbProdutos[SKU],tbProdutos[Produto])</f>
        <v>Mouse Wireless</v>
      </c>
      <c r="K34" s="2" t="str">
        <f>_xlfn.XLOOKUP(tbVendas[[#This Row],[SKU]],tbProdutos[SKU],tbProdutos[Categoria])</f>
        <v>Acessórios</v>
      </c>
      <c r="L34" s="3">
        <f>_xlfn.XLOOKUP(tbVendas[[#This Row],[SKU]],tbProdutos[SKU],tbProdutos[Preco_Unitario])</f>
        <v>95</v>
      </c>
      <c r="M34" s="3">
        <f>tbVendas[[#This Row],[Quantidade]]*tbVendas[[#This Row],[Preco_Unitario]]</f>
        <v>475</v>
      </c>
      <c r="N34" s="3">
        <f>tbVendas[[#This Row],[Faturamento_Bruto]]*tbVendas[[#This Row],[Desconto_Pct]]</f>
        <v>71.25</v>
      </c>
      <c r="O34" s="3">
        <f>tbVendas[[#This Row],[Faturamento_Bruto]]-tbVendas[[#This Row],[Valor_Desconto]]</f>
        <v>403.75</v>
      </c>
      <c r="P34" s="2" t="str">
        <f>IF(tbVendas[[#This Row],[Faturamento_Liquido]]&gt;=2000,"Alto Valor","Regular")</f>
        <v>Regular</v>
      </c>
    </row>
    <row r="35" spans="1:16">
      <c r="A35" s="12">
        <v>46127</v>
      </c>
      <c r="B35" s="13">
        <f>DATE(YEAR(tbVendas[[#This Row],[Data]]),MONTH(tbVendas[[#This Row],[Data]]),1)</f>
        <v>46113</v>
      </c>
      <c r="C35" s="2" t="s">
        <v>66</v>
      </c>
      <c r="D35" s="2" t="s">
        <v>22</v>
      </c>
      <c r="E35" s="2" t="s">
        <v>23</v>
      </c>
      <c r="F35" s="2" t="s">
        <v>19</v>
      </c>
      <c r="G35" s="2" t="s">
        <v>29</v>
      </c>
      <c r="H35" s="2">
        <v>3</v>
      </c>
      <c r="I35" s="14">
        <v>0.15</v>
      </c>
      <c r="J35" s="2" t="str">
        <f>_xlfn.XLOOKUP(tbVendas[[#This Row],[SKU]],tbProdutos[SKU],tbProdutos[Produto])</f>
        <v>Mesa Compacta</v>
      </c>
      <c r="K35" s="2" t="str">
        <f>_xlfn.XLOOKUP(tbVendas[[#This Row],[SKU]],tbProdutos[SKU],tbProdutos[Categoria])</f>
        <v>Escritório</v>
      </c>
      <c r="L35" s="3">
        <f>_xlfn.XLOOKUP(tbVendas[[#This Row],[SKU]],tbProdutos[SKU],tbProdutos[Preco_Unitario])</f>
        <v>520</v>
      </c>
      <c r="M35" s="3">
        <f>tbVendas[[#This Row],[Quantidade]]*tbVendas[[#This Row],[Preco_Unitario]]</f>
        <v>1560</v>
      </c>
      <c r="N35" s="3">
        <f>tbVendas[[#This Row],[Faturamento_Bruto]]*tbVendas[[#This Row],[Desconto_Pct]]</f>
        <v>234</v>
      </c>
      <c r="O35" s="3">
        <f>tbVendas[[#This Row],[Faturamento_Bruto]]-tbVendas[[#This Row],[Valor_Desconto]]</f>
        <v>1326</v>
      </c>
      <c r="P35" s="2" t="str">
        <f>IF(tbVendas[[#This Row],[Faturamento_Liquido]]&gt;=2000,"Alto Valor","Regular")</f>
        <v>Regular</v>
      </c>
    </row>
    <row r="36" spans="1:16">
      <c r="A36" s="12">
        <v>46128</v>
      </c>
      <c r="B36" s="13">
        <f>DATE(YEAR(tbVendas[[#This Row],[Data]]),MONTH(tbVendas[[#This Row],[Data]]),1)</f>
        <v>46113</v>
      </c>
      <c r="C36" s="2" t="s">
        <v>67</v>
      </c>
      <c r="D36" s="2" t="s">
        <v>22</v>
      </c>
      <c r="E36" s="2" t="s">
        <v>23</v>
      </c>
      <c r="F36" s="2" t="s">
        <v>19</v>
      </c>
      <c r="G36" s="2" t="s">
        <v>29</v>
      </c>
      <c r="H36" s="2">
        <v>3</v>
      </c>
      <c r="I36" s="14">
        <v>0</v>
      </c>
      <c r="J36" s="2" t="str">
        <f>_xlfn.XLOOKUP(tbVendas[[#This Row],[SKU]],tbProdutos[SKU],tbProdutos[Produto])</f>
        <v>Mesa Compacta</v>
      </c>
      <c r="K36" s="2" t="str">
        <f>_xlfn.XLOOKUP(tbVendas[[#This Row],[SKU]],tbProdutos[SKU],tbProdutos[Categoria])</f>
        <v>Escritório</v>
      </c>
      <c r="L36" s="3">
        <f>_xlfn.XLOOKUP(tbVendas[[#This Row],[SKU]],tbProdutos[SKU],tbProdutos[Preco_Unitario])</f>
        <v>520</v>
      </c>
      <c r="M36" s="3">
        <f>tbVendas[[#This Row],[Quantidade]]*tbVendas[[#This Row],[Preco_Unitario]]</f>
        <v>1560</v>
      </c>
      <c r="N36" s="3">
        <f>tbVendas[[#This Row],[Faturamento_Bruto]]*tbVendas[[#This Row],[Desconto_Pct]]</f>
        <v>0</v>
      </c>
      <c r="O36" s="3">
        <f>tbVendas[[#This Row],[Faturamento_Bruto]]-tbVendas[[#This Row],[Valor_Desconto]]</f>
        <v>1560</v>
      </c>
      <c r="P36" s="2" t="str">
        <f>IF(tbVendas[[#This Row],[Faturamento_Liquido]]&gt;=2000,"Alto Valor","Regular")</f>
        <v>Regular</v>
      </c>
    </row>
    <row r="37" spans="1:16">
      <c r="A37" s="12">
        <v>46133</v>
      </c>
      <c r="B37" s="13">
        <f>DATE(YEAR(tbVendas[[#This Row],[Data]]),MONTH(tbVendas[[#This Row],[Data]]),1)</f>
        <v>46113</v>
      </c>
      <c r="C37" s="2" t="s">
        <v>68</v>
      </c>
      <c r="D37" s="2" t="s">
        <v>40</v>
      </c>
      <c r="E37" s="2" t="s">
        <v>41</v>
      </c>
      <c r="F37" s="2" t="s">
        <v>24</v>
      </c>
      <c r="G37" s="2" t="s">
        <v>53</v>
      </c>
      <c r="H37" s="2">
        <v>4</v>
      </c>
      <c r="I37" s="14">
        <v>0</v>
      </c>
      <c r="J37" s="2" t="str">
        <f>_xlfn.XLOOKUP(tbVendas[[#This Row],[SKU]],tbProdutos[SKU],tbProdutos[Produto])</f>
        <v>Mouse Wireless</v>
      </c>
      <c r="K37" s="2" t="str">
        <f>_xlfn.XLOOKUP(tbVendas[[#This Row],[SKU]],tbProdutos[SKU],tbProdutos[Categoria])</f>
        <v>Acessórios</v>
      </c>
      <c r="L37" s="3">
        <f>_xlfn.XLOOKUP(tbVendas[[#This Row],[SKU]],tbProdutos[SKU],tbProdutos[Preco_Unitario])</f>
        <v>95</v>
      </c>
      <c r="M37" s="3">
        <f>tbVendas[[#This Row],[Quantidade]]*tbVendas[[#This Row],[Preco_Unitario]]</f>
        <v>380</v>
      </c>
      <c r="N37" s="3">
        <f>tbVendas[[#This Row],[Faturamento_Bruto]]*tbVendas[[#This Row],[Desconto_Pct]]</f>
        <v>0</v>
      </c>
      <c r="O37" s="3">
        <f>tbVendas[[#This Row],[Faturamento_Bruto]]-tbVendas[[#This Row],[Valor_Desconto]]</f>
        <v>380</v>
      </c>
      <c r="P37" s="2" t="str">
        <f>IF(tbVendas[[#This Row],[Faturamento_Liquido]]&gt;=2000,"Alto Valor","Regular")</f>
        <v>Regular</v>
      </c>
    </row>
    <row r="38" spans="1:16">
      <c r="A38" s="12">
        <v>46136</v>
      </c>
      <c r="B38" s="13">
        <f>DATE(YEAR(tbVendas[[#This Row],[Data]]),MONTH(tbVendas[[#This Row],[Data]]),1)</f>
        <v>46113</v>
      </c>
      <c r="C38" s="2" t="s">
        <v>69</v>
      </c>
      <c r="D38" s="2" t="s">
        <v>17</v>
      </c>
      <c r="E38" s="2" t="s">
        <v>18</v>
      </c>
      <c r="F38" s="2" t="s">
        <v>24</v>
      </c>
      <c r="G38" s="2" t="s">
        <v>20</v>
      </c>
      <c r="H38" s="2">
        <v>4</v>
      </c>
      <c r="I38" s="14">
        <v>0</v>
      </c>
      <c r="J38" s="2" t="str">
        <f>_xlfn.XLOOKUP(tbVendas[[#This Row],[SKU]],tbProdutos[SKU],tbProdutos[Produto])</f>
        <v>Monitor 24</v>
      </c>
      <c r="K38" s="2" t="str">
        <f>_xlfn.XLOOKUP(tbVendas[[#This Row],[SKU]],tbProdutos[SKU],tbProdutos[Categoria])</f>
        <v>Informática</v>
      </c>
      <c r="L38" s="3">
        <f>_xlfn.XLOOKUP(tbVendas[[#This Row],[SKU]],tbProdutos[SKU],tbProdutos[Preco_Unitario])</f>
        <v>850</v>
      </c>
      <c r="M38" s="3">
        <f>tbVendas[[#This Row],[Quantidade]]*tbVendas[[#This Row],[Preco_Unitario]]</f>
        <v>3400</v>
      </c>
      <c r="N38" s="3">
        <f>tbVendas[[#This Row],[Faturamento_Bruto]]*tbVendas[[#This Row],[Desconto_Pct]]</f>
        <v>0</v>
      </c>
      <c r="O38" s="3">
        <f>tbVendas[[#This Row],[Faturamento_Bruto]]-tbVendas[[#This Row],[Valor_Desconto]]</f>
        <v>3400</v>
      </c>
      <c r="P38" s="2" t="str">
        <f>IF(tbVendas[[#This Row],[Faturamento_Liquido]]&gt;=2000,"Alto Valor","Regular")</f>
        <v>Alto Valor</v>
      </c>
    </row>
    <row r="39" spans="1:16">
      <c r="A39" s="12">
        <v>46143</v>
      </c>
      <c r="B39" s="13">
        <f>DATE(YEAR(tbVendas[[#This Row],[Data]]),MONTH(tbVendas[[#This Row],[Data]]),1)</f>
        <v>46143</v>
      </c>
      <c r="C39" s="2" t="s">
        <v>70</v>
      </c>
      <c r="D39" s="2" t="s">
        <v>40</v>
      </c>
      <c r="E39" s="2" t="s">
        <v>41</v>
      </c>
      <c r="F39" s="2" t="s">
        <v>24</v>
      </c>
      <c r="G39" s="2" t="s">
        <v>53</v>
      </c>
      <c r="H39" s="2">
        <v>3</v>
      </c>
      <c r="I39" s="14">
        <v>0.05</v>
      </c>
      <c r="J39" s="2" t="str">
        <f>_xlfn.XLOOKUP(tbVendas[[#This Row],[SKU]],tbProdutos[SKU],tbProdutos[Produto])</f>
        <v>Mouse Wireless</v>
      </c>
      <c r="K39" s="2" t="str">
        <f>_xlfn.XLOOKUP(tbVendas[[#This Row],[SKU]],tbProdutos[SKU],tbProdutos[Categoria])</f>
        <v>Acessórios</v>
      </c>
      <c r="L39" s="3">
        <f>_xlfn.XLOOKUP(tbVendas[[#This Row],[SKU]],tbProdutos[SKU],tbProdutos[Preco_Unitario])</f>
        <v>95</v>
      </c>
      <c r="M39" s="3">
        <f>tbVendas[[#This Row],[Quantidade]]*tbVendas[[#This Row],[Preco_Unitario]]</f>
        <v>285</v>
      </c>
      <c r="N39" s="3">
        <f>tbVendas[[#This Row],[Faturamento_Bruto]]*tbVendas[[#This Row],[Desconto_Pct]]</f>
        <v>14.25</v>
      </c>
      <c r="O39" s="3">
        <f>tbVendas[[#This Row],[Faturamento_Bruto]]-tbVendas[[#This Row],[Valor_Desconto]]</f>
        <v>270.75</v>
      </c>
      <c r="P39" s="2" t="str">
        <f>IF(tbVendas[[#This Row],[Faturamento_Liquido]]&gt;=2000,"Alto Valor","Regular")</f>
        <v>Regular</v>
      </c>
    </row>
    <row r="40" spans="1:16">
      <c r="A40" s="12">
        <v>46156</v>
      </c>
      <c r="B40" s="13">
        <f>DATE(YEAR(tbVendas[[#This Row],[Data]]),MONTH(tbVendas[[#This Row],[Data]]),1)</f>
        <v>46143</v>
      </c>
      <c r="C40" s="2" t="s">
        <v>71</v>
      </c>
      <c r="D40" s="2" t="s">
        <v>40</v>
      </c>
      <c r="E40" s="2" t="s">
        <v>41</v>
      </c>
      <c r="F40" s="2" t="s">
        <v>19</v>
      </c>
      <c r="G40" s="2" t="s">
        <v>20</v>
      </c>
      <c r="H40" s="2">
        <v>3</v>
      </c>
      <c r="I40" s="14">
        <v>0.15</v>
      </c>
      <c r="J40" s="2" t="str">
        <f>_xlfn.XLOOKUP(tbVendas[[#This Row],[SKU]],tbProdutos[SKU],tbProdutos[Produto])</f>
        <v>Monitor 24</v>
      </c>
      <c r="K40" s="2" t="str">
        <f>_xlfn.XLOOKUP(tbVendas[[#This Row],[SKU]],tbProdutos[SKU],tbProdutos[Categoria])</f>
        <v>Informática</v>
      </c>
      <c r="L40" s="3">
        <f>_xlfn.XLOOKUP(tbVendas[[#This Row],[SKU]],tbProdutos[SKU],tbProdutos[Preco_Unitario])</f>
        <v>850</v>
      </c>
      <c r="M40" s="3">
        <f>tbVendas[[#This Row],[Quantidade]]*tbVendas[[#This Row],[Preco_Unitario]]</f>
        <v>2550</v>
      </c>
      <c r="N40" s="3">
        <f>tbVendas[[#This Row],[Faturamento_Bruto]]*tbVendas[[#This Row],[Desconto_Pct]]</f>
        <v>382.5</v>
      </c>
      <c r="O40" s="3">
        <f>tbVendas[[#This Row],[Faturamento_Bruto]]-tbVendas[[#This Row],[Valor_Desconto]]</f>
        <v>2167.5</v>
      </c>
      <c r="P40" s="2" t="str">
        <f>IF(tbVendas[[#This Row],[Faturamento_Liquido]]&gt;=2000,"Alto Valor","Regular")</f>
        <v>Alto Valor</v>
      </c>
    </row>
    <row r="41" spans="1:16">
      <c r="A41" s="12">
        <v>46157</v>
      </c>
      <c r="B41" s="13">
        <f>DATE(YEAR(tbVendas[[#This Row],[Data]]),MONTH(tbVendas[[#This Row],[Data]]),1)</f>
        <v>46143</v>
      </c>
      <c r="C41" s="2" t="s">
        <v>72</v>
      </c>
      <c r="D41" s="2" t="s">
        <v>17</v>
      </c>
      <c r="E41" s="2" t="s">
        <v>18</v>
      </c>
      <c r="F41" s="2" t="s">
        <v>24</v>
      </c>
      <c r="G41" s="2" t="s">
        <v>53</v>
      </c>
      <c r="H41" s="2">
        <v>1</v>
      </c>
      <c r="I41" s="14">
        <v>0.05</v>
      </c>
      <c r="J41" s="2" t="str">
        <f>_xlfn.XLOOKUP(tbVendas[[#This Row],[SKU]],tbProdutos[SKU],tbProdutos[Produto])</f>
        <v>Mouse Wireless</v>
      </c>
      <c r="K41" s="2" t="str">
        <f>_xlfn.XLOOKUP(tbVendas[[#This Row],[SKU]],tbProdutos[SKU],tbProdutos[Categoria])</f>
        <v>Acessórios</v>
      </c>
      <c r="L41" s="3">
        <f>_xlfn.XLOOKUP(tbVendas[[#This Row],[SKU]],tbProdutos[SKU],tbProdutos[Preco_Unitario])</f>
        <v>95</v>
      </c>
      <c r="M41" s="3">
        <f>tbVendas[[#This Row],[Quantidade]]*tbVendas[[#This Row],[Preco_Unitario]]</f>
        <v>95</v>
      </c>
      <c r="N41" s="3">
        <f>tbVendas[[#This Row],[Faturamento_Bruto]]*tbVendas[[#This Row],[Desconto_Pct]]</f>
        <v>4.75</v>
      </c>
      <c r="O41" s="3">
        <f>tbVendas[[#This Row],[Faturamento_Bruto]]-tbVendas[[#This Row],[Valor_Desconto]]</f>
        <v>90.25</v>
      </c>
      <c r="P41" s="2" t="str">
        <f>IF(tbVendas[[#This Row],[Faturamento_Liquido]]&gt;=2000,"Alto Valor","Regular")</f>
        <v>Regular</v>
      </c>
    </row>
    <row r="42" spans="1:16">
      <c r="A42" s="12">
        <v>46160</v>
      </c>
      <c r="B42" s="13">
        <f>DATE(YEAR(tbVendas[[#This Row],[Data]]),MONTH(tbVendas[[#This Row],[Data]]),1)</f>
        <v>46143</v>
      </c>
      <c r="C42" s="2" t="s">
        <v>73</v>
      </c>
      <c r="D42" s="2" t="s">
        <v>40</v>
      </c>
      <c r="E42" s="2" t="s">
        <v>41</v>
      </c>
      <c r="F42" s="2" t="s">
        <v>24</v>
      </c>
      <c r="G42" s="2" t="s">
        <v>27</v>
      </c>
      <c r="H42" s="2">
        <v>5</v>
      </c>
      <c r="I42" s="14">
        <v>0</v>
      </c>
      <c r="J42" s="2" t="str">
        <f>_xlfn.XLOOKUP(tbVendas[[#This Row],[SKU]],tbProdutos[SKU],tbProdutos[Produto])</f>
        <v>Headset Pro</v>
      </c>
      <c r="K42" s="2" t="str">
        <f>_xlfn.XLOOKUP(tbVendas[[#This Row],[SKU]],tbProdutos[SKU],tbProdutos[Categoria])</f>
        <v>Acessórios</v>
      </c>
      <c r="L42" s="3">
        <f>_xlfn.XLOOKUP(tbVendas[[#This Row],[SKU]],tbProdutos[SKU],tbProdutos[Preco_Unitario])</f>
        <v>220</v>
      </c>
      <c r="M42" s="3">
        <f>tbVendas[[#This Row],[Quantidade]]*tbVendas[[#This Row],[Preco_Unitario]]</f>
        <v>1100</v>
      </c>
      <c r="N42" s="3">
        <f>tbVendas[[#This Row],[Faturamento_Bruto]]*tbVendas[[#This Row],[Desconto_Pct]]</f>
        <v>0</v>
      </c>
      <c r="O42" s="3">
        <f>tbVendas[[#This Row],[Faturamento_Bruto]]-tbVendas[[#This Row],[Valor_Desconto]]</f>
        <v>1100</v>
      </c>
      <c r="P42" s="2" t="str">
        <f>IF(tbVendas[[#This Row],[Faturamento_Liquido]]&gt;=2000,"Alto Valor","Regular")</f>
        <v>Regular</v>
      </c>
    </row>
    <row r="43" spans="1:16">
      <c r="A43" s="12">
        <v>46161</v>
      </c>
      <c r="B43" s="13">
        <f>DATE(YEAR(tbVendas[[#This Row],[Data]]),MONTH(tbVendas[[#This Row],[Data]]),1)</f>
        <v>46143</v>
      </c>
      <c r="C43" s="2" t="s">
        <v>74</v>
      </c>
      <c r="D43" s="2" t="s">
        <v>17</v>
      </c>
      <c r="E43" s="2" t="s">
        <v>18</v>
      </c>
      <c r="F43" s="2" t="s">
        <v>19</v>
      </c>
      <c r="G43" s="2" t="s">
        <v>29</v>
      </c>
      <c r="H43" s="2">
        <v>2</v>
      </c>
      <c r="I43" s="14">
        <v>0.05</v>
      </c>
      <c r="J43" s="2" t="str">
        <f>_xlfn.XLOOKUP(tbVendas[[#This Row],[SKU]],tbProdutos[SKU],tbProdutos[Produto])</f>
        <v>Mesa Compacta</v>
      </c>
      <c r="K43" s="2" t="str">
        <f>_xlfn.XLOOKUP(tbVendas[[#This Row],[SKU]],tbProdutos[SKU],tbProdutos[Categoria])</f>
        <v>Escritório</v>
      </c>
      <c r="L43" s="3">
        <f>_xlfn.XLOOKUP(tbVendas[[#This Row],[SKU]],tbProdutos[SKU],tbProdutos[Preco_Unitario])</f>
        <v>520</v>
      </c>
      <c r="M43" s="3">
        <f>tbVendas[[#This Row],[Quantidade]]*tbVendas[[#This Row],[Preco_Unitario]]</f>
        <v>1040</v>
      </c>
      <c r="N43" s="3">
        <f>tbVendas[[#This Row],[Faturamento_Bruto]]*tbVendas[[#This Row],[Desconto_Pct]]</f>
        <v>52</v>
      </c>
      <c r="O43" s="3">
        <f>tbVendas[[#This Row],[Faturamento_Bruto]]-tbVendas[[#This Row],[Valor_Desconto]]</f>
        <v>988</v>
      </c>
      <c r="P43" s="2" t="str">
        <f>IF(tbVendas[[#This Row],[Faturamento_Liquido]]&gt;=2000,"Alto Valor","Regular")</f>
        <v>Regular</v>
      </c>
    </row>
    <row r="44" spans="1:16">
      <c r="A44" s="12">
        <v>46161</v>
      </c>
      <c r="B44" s="13">
        <f>DATE(YEAR(tbVendas[[#This Row],[Data]]),MONTH(tbVendas[[#This Row],[Data]]),1)</f>
        <v>46143</v>
      </c>
      <c r="C44" s="2" t="s">
        <v>75</v>
      </c>
      <c r="D44" s="2" t="s">
        <v>17</v>
      </c>
      <c r="E44" s="2" t="s">
        <v>18</v>
      </c>
      <c r="F44" s="2" t="s">
        <v>19</v>
      </c>
      <c r="G44" s="2" t="s">
        <v>20</v>
      </c>
      <c r="H44" s="2">
        <v>2</v>
      </c>
      <c r="I44" s="14">
        <v>0.15</v>
      </c>
      <c r="J44" s="2" t="str">
        <f>_xlfn.XLOOKUP(tbVendas[[#This Row],[SKU]],tbProdutos[SKU],tbProdutos[Produto])</f>
        <v>Monitor 24</v>
      </c>
      <c r="K44" s="2" t="str">
        <f>_xlfn.XLOOKUP(tbVendas[[#This Row],[SKU]],tbProdutos[SKU],tbProdutos[Categoria])</f>
        <v>Informática</v>
      </c>
      <c r="L44" s="3">
        <f>_xlfn.XLOOKUP(tbVendas[[#This Row],[SKU]],tbProdutos[SKU],tbProdutos[Preco_Unitario])</f>
        <v>850</v>
      </c>
      <c r="M44" s="3">
        <f>tbVendas[[#This Row],[Quantidade]]*tbVendas[[#This Row],[Preco_Unitario]]</f>
        <v>1700</v>
      </c>
      <c r="N44" s="3">
        <f>tbVendas[[#This Row],[Faturamento_Bruto]]*tbVendas[[#This Row],[Desconto_Pct]]</f>
        <v>255</v>
      </c>
      <c r="O44" s="3">
        <f>tbVendas[[#This Row],[Faturamento_Bruto]]-tbVendas[[#This Row],[Valor_Desconto]]</f>
        <v>1445</v>
      </c>
      <c r="P44" s="2" t="str">
        <f>IF(tbVendas[[#This Row],[Faturamento_Liquido]]&gt;=2000,"Alto Valor","Regular")</f>
        <v>Regular</v>
      </c>
    </row>
    <row r="45" spans="1:16">
      <c r="A45" s="12">
        <v>46165</v>
      </c>
      <c r="B45" s="13">
        <f>DATE(YEAR(tbVendas[[#This Row],[Data]]),MONTH(tbVendas[[#This Row],[Data]]),1)</f>
        <v>46143</v>
      </c>
      <c r="C45" s="2" t="s">
        <v>76</v>
      </c>
      <c r="D45" s="2" t="s">
        <v>40</v>
      </c>
      <c r="E45" s="2" t="s">
        <v>41</v>
      </c>
      <c r="F45" s="2" t="s">
        <v>24</v>
      </c>
      <c r="G45" s="2" t="s">
        <v>20</v>
      </c>
      <c r="H45" s="2">
        <v>3</v>
      </c>
      <c r="I45" s="14">
        <v>0.15</v>
      </c>
      <c r="J45" s="2" t="str">
        <f>_xlfn.XLOOKUP(tbVendas[[#This Row],[SKU]],tbProdutos[SKU],tbProdutos[Produto])</f>
        <v>Monitor 24</v>
      </c>
      <c r="K45" s="2" t="str">
        <f>_xlfn.XLOOKUP(tbVendas[[#This Row],[SKU]],tbProdutos[SKU],tbProdutos[Categoria])</f>
        <v>Informática</v>
      </c>
      <c r="L45" s="3">
        <f>_xlfn.XLOOKUP(tbVendas[[#This Row],[SKU]],tbProdutos[SKU],tbProdutos[Preco_Unitario])</f>
        <v>850</v>
      </c>
      <c r="M45" s="3">
        <f>tbVendas[[#This Row],[Quantidade]]*tbVendas[[#This Row],[Preco_Unitario]]</f>
        <v>2550</v>
      </c>
      <c r="N45" s="3">
        <f>tbVendas[[#This Row],[Faturamento_Bruto]]*tbVendas[[#This Row],[Desconto_Pct]]</f>
        <v>382.5</v>
      </c>
      <c r="O45" s="3">
        <f>tbVendas[[#This Row],[Faturamento_Bruto]]-tbVendas[[#This Row],[Valor_Desconto]]</f>
        <v>2167.5</v>
      </c>
      <c r="P45" s="2" t="str">
        <f>IF(tbVendas[[#This Row],[Faturamento_Liquido]]&gt;=2000,"Alto Valor","Regular")</f>
        <v>Alto Valor</v>
      </c>
    </row>
    <row r="46" spans="1:16">
      <c r="A46" s="12">
        <v>46168</v>
      </c>
      <c r="B46" s="13">
        <f>DATE(YEAR(tbVendas[[#This Row],[Data]]),MONTH(tbVendas[[#This Row],[Data]]),1)</f>
        <v>46143</v>
      </c>
      <c r="C46" s="2" t="s">
        <v>77</v>
      </c>
      <c r="D46" s="2" t="s">
        <v>31</v>
      </c>
      <c r="E46" s="2" t="s">
        <v>32</v>
      </c>
      <c r="F46" s="2" t="s">
        <v>24</v>
      </c>
      <c r="G46" s="2" t="s">
        <v>20</v>
      </c>
      <c r="H46" s="2">
        <v>5</v>
      </c>
      <c r="I46" s="14">
        <v>0.15</v>
      </c>
      <c r="J46" s="2" t="str">
        <f>_xlfn.XLOOKUP(tbVendas[[#This Row],[SKU]],tbProdutos[SKU],tbProdutos[Produto])</f>
        <v>Monitor 24</v>
      </c>
      <c r="K46" s="2" t="str">
        <f>_xlfn.XLOOKUP(tbVendas[[#This Row],[SKU]],tbProdutos[SKU],tbProdutos[Categoria])</f>
        <v>Informática</v>
      </c>
      <c r="L46" s="3">
        <f>_xlfn.XLOOKUP(tbVendas[[#This Row],[SKU]],tbProdutos[SKU],tbProdutos[Preco_Unitario])</f>
        <v>850</v>
      </c>
      <c r="M46" s="3">
        <f>tbVendas[[#This Row],[Quantidade]]*tbVendas[[#This Row],[Preco_Unitario]]</f>
        <v>4250</v>
      </c>
      <c r="N46" s="3">
        <f>tbVendas[[#This Row],[Faturamento_Bruto]]*tbVendas[[#This Row],[Desconto_Pct]]</f>
        <v>637.5</v>
      </c>
      <c r="O46" s="3">
        <f>tbVendas[[#This Row],[Faturamento_Bruto]]-tbVendas[[#This Row],[Valor_Desconto]]</f>
        <v>3612.5</v>
      </c>
      <c r="P46" s="2" t="str">
        <f>IF(tbVendas[[#This Row],[Faturamento_Liquido]]&gt;=2000,"Alto Valor","Regular")</f>
        <v>Alto Valor</v>
      </c>
    </row>
    <row r="47" spans="1:16">
      <c r="A47" s="12">
        <v>46174</v>
      </c>
      <c r="B47" s="13">
        <f>DATE(YEAR(tbVendas[[#This Row],[Data]]),MONTH(tbVendas[[#This Row],[Data]]),1)</f>
        <v>46174</v>
      </c>
      <c r="C47" s="2" t="s">
        <v>78</v>
      </c>
      <c r="D47" s="2" t="s">
        <v>17</v>
      </c>
      <c r="E47" s="2" t="s">
        <v>18</v>
      </c>
      <c r="F47" s="2" t="s">
        <v>36</v>
      </c>
      <c r="G47" s="2" t="s">
        <v>53</v>
      </c>
      <c r="H47" s="2">
        <v>5</v>
      </c>
      <c r="I47" s="14">
        <v>0.15</v>
      </c>
      <c r="J47" s="2" t="str">
        <f>_xlfn.XLOOKUP(tbVendas[[#This Row],[SKU]],tbProdutos[SKU],tbProdutos[Produto])</f>
        <v>Mouse Wireless</v>
      </c>
      <c r="K47" s="2" t="str">
        <f>_xlfn.XLOOKUP(tbVendas[[#This Row],[SKU]],tbProdutos[SKU],tbProdutos[Categoria])</f>
        <v>Acessórios</v>
      </c>
      <c r="L47" s="3">
        <f>_xlfn.XLOOKUP(tbVendas[[#This Row],[SKU]],tbProdutos[SKU],tbProdutos[Preco_Unitario])</f>
        <v>95</v>
      </c>
      <c r="M47" s="3">
        <f>tbVendas[[#This Row],[Quantidade]]*tbVendas[[#This Row],[Preco_Unitario]]</f>
        <v>475</v>
      </c>
      <c r="N47" s="3">
        <f>tbVendas[[#This Row],[Faturamento_Bruto]]*tbVendas[[#This Row],[Desconto_Pct]]</f>
        <v>71.25</v>
      </c>
      <c r="O47" s="3">
        <f>tbVendas[[#This Row],[Faturamento_Bruto]]-tbVendas[[#This Row],[Valor_Desconto]]</f>
        <v>403.75</v>
      </c>
      <c r="P47" s="2" t="str">
        <f>IF(tbVendas[[#This Row],[Faturamento_Liquido]]&gt;=2000,"Alto Valor","Regular")</f>
        <v>Regular</v>
      </c>
    </row>
    <row r="48" spans="1:16">
      <c r="A48" s="12">
        <v>46175</v>
      </c>
      <c r="B48" s="13">
        <f>DATE(YEAR(tbVendas[[#This Row],[Data]]),MONTH(tbVendas[[#This Row],[Data]]),1)</f>
        <v>46174</v>
      </c>
      <c r="C48" s="2" t="s">
        <v>79</v>
      </c>
      <c r="D48" s="2" t="s">
        <v>31</v>
      </c>
      <c r="E48" s="2" t="s">
        <v>32</v>
      </c>
      <c r="F48" s="2" t="s">
        <v>19</v>
      </c>
      <c r="G48" s="2" t="s">
        <v>50</v>
      </c>
      <c r="H48" s="2">
        <v>2</v>
      </c>
      <c r="I48" s="14">
        <v>0.05</v>
      </c>
      <c r="J48" s="2" t="str">
        <f>_xlfn.XLOOKUP(tbVendas[[#This Row],[SKU]],tbProdutos[SKU],tbProdutos[Produto])</f>
        <v>Cadeira Office</v>
      </c>
      <c r="K48" s="2" t="str">
        <f>_xlfn.XLOOKUP(tbVendas[[#This Row],[SKU]],tbProdutos[SKU],tbProdutos[Categoria])</f>
        <v>Escritório</v>
      </c>
      <c r="L48" s="3">
        <f>_xlfn.XLOOKUP(tbVendas[[#This Row],[SKU]],tbProdutos[SKU],tbProdutos[Preco_Unitario])</f>
        <v>690</v>
      </c>
      <c r="M48" s="3">
        <f>tbVendas[[#This Row],[Quantidade]]*tbVendas[[#This Row],[Preco_Unitario]]</f>
        <v>1380</v>
      </c>
      <c r="N48" s="3">
        <f>tbVendas[[#This Row],[Faturamento_Bruto]]*tbVendas[[#This Row],[Desconto_Pct]]</f>
        <v>69</v>
      </c>
      <c r="O48" s="3">
        <f>tbVendas[[#This Row],[Faturamento_Bruto]]-tbVendas[[#This Row],[Valor_Desconto]]</f>
        <v>1311</v>
      </c>
      <c r="P48" s="2" t="str">
        <f>IF(tbVendas[[#This Row],[Faturamento_Liquido]]&gt;=2000,"Alto Valor","Regular")</f>
        <v>Regular</v>
      </c>
    </row>
    <row r="49" spans="1:16">
      <c r="A49" s="12">
        <v>46176</v>
      </c>
      <c r="B49" s="13">
        <f>DATE(YEAR(tbVendas[[#This Row],[Data]]),MONTH(tbVendas[[#This Row],[Data]]),1)</f>
        <v>46174</v>
      </c>
      <c r="C49" s="2" t="s">
        <v>80</v>
      </c>
      <c r="D49" s="2" t="s">
        <v>17</v>
      </c>
      <c r="E49" s="2" t="s">
        <v>18</v>
      </c>
      <c r="F49" s="2" t="s">
        <v>36</v>
      </c>
      <c r="G49" s="2" t="s">
        <v>53</v>
      </c>
      <c r="H49" s="2">
        <v>1</v>
      </c>
      <c r="I49" s="14">
        <v>0</v>
      </c>
      <c r="J49" s="2" t="str">
        <f>_xlfn.XLOOKUP(tbVendas[[#This Row],[SKU]],tbProdutos[SKU],tbProdutos[Produto])</f>
        <v>Mouse Wireless</v>
      </c>
      <c r="K49" s="2" t="str">
        <f>_xlfn.XLOOKUP(tbVendas[[#This Row],[SKU]],tbProdutos[SKU],tbProdutos[Categoria])</f>
        <v>Acessórios</v>
      </c>
      <c r="L49" s="3">
        <f>_xlfn.XLOOKUP(tbVendas[[#This Row],[SKU]],tbProdutos[SKU],tbProdutos[Preco_Unitario])</f>
        <v>95</v>
      </c>
      <c r="M49" s="3">
        <f>tbVendas[[#This Row],[Quantidade]]*tbVendas[[#This Row],[Preco_Unitario]]</f>
        <v>95</v>
      </c>
      <c r="N49" s="3">
        <f>tbVendas[[#This Row],[Faturamento_Bruto]]*tbVendas[[#This Row],[Desconto_Pct]]</f>
        <v>0</v>
      </c>
      <c r="O49" s="3">
        <f>tbVendas[[#This Row],[Faturamento_Bruto]]-tbVendas[[#This Row],[Valor_Desconto]]</f>
        <v>95</v>
      </c>
      <c r="P49" s="2" t="str">
        <f>IF(tbVendas[[#This Row],[Faturamento_Liquido]]&gt;=2000,"Alto Valor","Regular")</f>
        <v>Regular</v>
      </c>
    </row>
    <row r="50" spans="1:16">
      <c r="A50" s="12">
        <v>46178</v>
      </c>
      <c r="B50" s="13">
        <f>DATE(YEAR(tbVendas[[#This Row],[Data]]),MONTH(tbVendas[[#This Row],[Data]]),1)</f>
        <v>46174</v>
      </c>
      <c r="C50" s="2" t="s">
        <v>81</v>
      </c>
      <c r="D50" s="2" t="s">
        <v>17</v>
      </c>
      <c r="E50" s="2" t="s">
        <v>18</v>
      </c>
      <c r="F50" s="2" t="s">
        <v>36</v>
      </c>
      <c r="G50" s="2" t="s">
        <v>27</v>
      </c>
      <c r="H50" s="2">
        <v>4</v>
      </c>
      <c r="I50" s="14">
        <v>0</v>
      </c>
      <c r="J50" s="2" t="str">
        <f>_xlfn.XLOOKUP(tbVendas[[#This Row],[SKU]],tbProdutos[SKU],tbProdutos[Produto])</f>
        <v>Headset Pro</v>
      </c>
      <c r="K50" s="2" t="str">
        <f>_xlfn.XLOOKUP(tbVendas[[#This Row],[SKU]],tbProdutos[SKU],tbProdutos[Categoria])</f>
        <v>Acessórios</v>
      </c>
      <c r="L50" s="3">
        <f>_xlfn.XLOOKUP(tbVendas[[#This Row],[SKU]],tbProdutos[SKU],tbProdutos[Preco_Unitario])</f>
        <v>220</v>
      </c>
      <c r="M50" s="3">
        <f>tbVendas[[#This Row],[Quantidade]]*tbVendas[[#This Row],[Preco_Unitario]]</f>
        <v>880</v>
      </c>
      <c r="N50" s="3">
        <f>tbVendas[[#This Row],[Faturamento_Bruto]]*tbVendas[[#This Row],[Desconto_Pct]]</f>
        <v>0</v>
      </c>
      <c r="O50" s="3">
        <f>tbVendas[[#This Row],[Faturamento_Bruto]]-tbVendas[[#This Row],[Valor_Desconto]]</f>
        <v>880</v>
      </c>
      <c r="P50" s="2" t="str">
        <f>IF(tbVendas[[#This Row],[Faturamento_Liquido]]&gt;=2000,"Alto Valor","Regular")</f>
        <v>Regular</v>
      </c>
    </row>
    <row r="51" spans="1:16">
      <c r="A51" s="12">
        <v>46185</v>
      </c>
      <c r="B51" s="13">
        <f>DATE(YEAR(tbVendas[[#This Row],[Data]]),MONTH(tbVendas[[#This Row],[Data]]),1)</f>
        <v>46174</v>
      </c>
      <c r="C51" s="2" t="s">
        <v>82</v>
      </c>
      <c r="D51" s="2" t="s">
        <v>31</v>
      </c>
      <c r="E51" s="2" t="s">
        <v>32</v>
      </c>
      <c r="F51" s="2" t="s">
        <v>19</v>
      </c>
      <c r="G51" s="2" t="s">
        <v>50</v>
      </c>
      <c r="H51" s="2">
        <v>3</v>
      </c>
      <c r="I51" s="14">
        <v>0.05</v>
      </c>
      <c r="J51" s="2" t="str">
        <f>_xlfn.XLOOKUP(tbVendas[[#This Row],[SKU]],tbProdutos[SKU],tbProdutos[Produto])</f>
        <v>Cadeira Office</v>
      </c>
      <c r="K51" s="2" t="str">
        <f>_xlfn.XLOOKUP(tbVendas[[#This Row],[SKU]],tbProdutos[SKU],tbProdutos[Categoria])</f>
        <v>Escritório</v>
      </c>
      <c r="L51" s="3">
        <f>_xlfn.XLOOKUP(tbVendas[[#This Row],[SKU]],tbProdutos[SKU],tbProdutos[Preco_Unitario])</f>
        <v>690</v>
      </c>
      <c r="M51" s="3">
        <f>tbVendas[[#This Row],[Quantidade]]*tbVendas[[#This Row],[Preco_Unitario]]</f>
        <v>2070</v>
      </c>
      <c r="N51" s="3">
        <f>tbVendas[[#This Row],[Faturamento_Bruto]]*tbVendas[[#This Row],[Desconto_Pct]]</f>
        <v>103.5</v>
      </c>
      <c r="O51" s="3">
        <f>tbVendas[[#This Row],[Faturamento_Bruto]]-tbVendas[[#This Row],[Valor_Desconto]]</f>
        <v>1966.5</v>
      </c>
      <c r="P51" s="2" t="str">
        <f>IF(tbVendas[[#This Row],[Faturamento_Liquido]]&gt;=2000,"Alto Valor","Regular")</f>
        <v>Regular</v>
      </c>
    </row>
    <row r="52" spans="1:16">
      <c r="A52" s="12">
        <v>46185</v>
      </c>
      <c r="B52" s="13">
        <f>DATE(YEAR(tbVendas[[#This Row],[Data]]),MONTH(tbVendas[[#This Row],[Data]]),1)</f>
        <v>46174</v>
      </c>
      <c r="C52" s="2" t="s">
        <v>83</v>
      </c>
      <c r="D52" s="2" t="s">
        <v>22</v>
      </c>
      <c r="E52" s="2" t="s">
        <v>23</v>
      </c>
      <c r="F52" s="2" t="s">
        <v>36</v>
      </c>
      <c r="G52" s="2" t="s">
        <v>20</v>
      </c>
      <c r="H52" s="2">
        <v>4</v>
      </c>
      <c r="I52" s="14">
        <v>0</v>
      </c>
      <c r="J52" s="2" t="str">
        <f>_xlfn.XLOOKUP(tbVendas[[#This Row],[SKU]],tbProdutos[SKU],tbProdutos[Produto])</f>
        <v>Monitor 24</v>
      </c>
      <c r="K52" s="2" t="str">
        <f>_xlfn.XLOOKUP(tbVendas[[#This Row],[SKU]],tbProdutos[SKU],tbProdutos[Categoria])</f>
        <v>Informática</v>
      </c>
      <c r="L52" s="3">
        <f>_xlfn.XLOOKUP(tbVendas[[#This Row],[SKU]],tbProdutos[SKU],tbProdutos[Preco_Unitario])</f>
        <v>850</v>
      </c>
      <c r="M52" s="3">
        <f>tbVendas[[#This Row],[Quantidade]]*tbVendas[[#This Row],[Preco_Unitario]]</f>
        <v>3400</v>
      </c>
      <c r="N52" s="3">
        <f>tbVendas[[#This Row],[Faturamento_Bruto]]*tbVendas[[#This Row],[Desconto_Pct]]</f>
        <v>0</v>
      </c>
      <c r="O52" s="3">
        <f>tbVendas[[#This Row],[Faturamento_Bruto]]-tbVendas[[#This Row],[Valor_Desconto]]</f>
        <v>3400</v>
      </c>
      <c r="P52" s="2" t="str">
        <f>IF(tbVendas[[#This Row],[Faturamento_Liquido]]&gt;=2000,"Alto Valor","Regular")</f>
        <v>Alto Valor</v>
      </c>
    </row>
    <row r="53" spans="1:16">
      <c r="A53" s="12">
        <v>46185</v>
      </c>
      <c r="B53" s="13">
        <f>DATE(YEAR(tbVendas[[#This Row],[Data]]),MONTH(tbVendas[[#This Row],[Data]]),1)</f>
        <v>46174</v>
      </c>
      <c r="C53" s="2" t="s">
        <v>84</v>
      </c>
      <c r="D53" s="2" t="s">
        <v>31</v>
      </c>
      <c r="E53" s="2" t="s">
        <v>32</v>
      </c>
      <c r="F53" s="2" t="s">
        <v>19</v>
      </c>
      <c r="G53" s="2" t="s">
        <v>27</v>
      </c>
      <c r="H53" s="2">
        <v>5</v>
      </c>
      <c r="I53" s="14">
        <v>0.05</v>
      </c>
      <c r="J53" s="2" t="str">
        <f>_xlfn.XLOOKUP(tbVendas[[#This Row],[SKU]],tbProdutos[SKU],tbProdutos[Produto])</f>
        <v>Headset Pro</v>
      </c>
      <c r="K53" s="2" t="str">
        <f>_xlfn.XLOOKUP(tbVendas[[#This Row],[SKU]],tbProdutos[SKU],tbProdutos[Categoria])</f>
        <v>Acessórios</v>
      </c>
      <c r="L53" s="3">
        <f>_xlfn.XLOOKUP(tbVendas[[#This Row],[SKU]],tbProdutos[SKU],tbProdutos[Preco_Unitario])</f>
        <v>220</v>
      </c>
      <c r="M53" s="3">
        <f>tbVendas[[#This Row],[Quantidade]]*tbVendas[[#This Row],[Preco_Unitario]]</f>
        <v>1100</v>
      </c>
      <c r="N53" s="3">
        <f>tbVendas[[#This Row],[Faturamento_Bruto]]*tbVendas[[#This Row],[Desconto_Pct]]</f>
        <v>55</v>
      </c>
      <c r="O53" s="3">
        <f>tbVendas[[#This Row],[Faturamento_Bruto]]-tbVendas[[#This Row],[Valor_Desconto]]</f>
        <v>1045</v>
      </c>
      <c r="P53" s="2" t="str">
        <f>IF(tbVendas[[#This Row],[Faturamento_Liquido]]&gt;=2000,"Alto Valor","Regular")</f>
        <v>Regular</v>
      </c>
    </row>
    <row r="54" spans="1:16">
      <c r="A54" s="12">
        <v>46188</v>
      </c>
      <c r="B54" s="13">
        <f>DATE(YEAR(tbVendas[[#This Row],[Data]]),MONTH(tbVendas[[#This Row],[Data]]),1)</f>
        <v>46174</v>
      </c>
      <c r="C54" s="2" t="s">
        <v>85</v>
      </c>
      <c r="D54" s="2" t="s">
        <v>40</v>
      </c>
      <c r="E54" s="2" t="s">
        <v>41</v>
      </c>
      <c r="F54" s="2" t="s">
        <v>36</v>
      </c>
      <c r="G54" s="2" t="s">
        <v>25</v>
      </c>
      <c r="H54" s="2">
        <v>1</v>
      </c>
      <c r="I54" s="14">
        <v>0.1</v>
      </c>
      <c r="J54" s="2" t="str">
        <f>_xlfn.XLOOKUP(tbVendas[[#This Row],[SKU]],tbProdutos[SKU],tbProdutos[Produto])</f>
        <v>Notebook Basic</v>
      </c>
      <c r="K54" s="2" t="str">
        <f>_xlfn.XLOOKUP(tbVendas[[#This Row],[SKU]],tbProdutos[SKU],tbProdutos[Categoria])</f>
        <v>Informática</v>
      </c>
      <c r="L54" s="3">
        <f>_xlfn.XLOOKUP(tbVendas[[#This Row],[SKU]],tbProdutos[SKU],tbProdutos[Preco_Unitario])</f>
        <v>2800</v>
      </c>
      <c r="M54" s="3">
        <f>tbVendas[[#This Row],[Quantidade]]*tbVendas[[#This Row],[Preco_Unitario]]</f>
        <v>2800</v>
      </c>
      <c r="N54" s="3">
        <f>tbVendas[[#This Row],[Faturamento_Bruto]]*tbVendas[[#This Row],[Desconto_Pct]]</f>
        <v>280</v>
      </c>
      <c r="O54" s="3">
        <f>tbVendas[[#This Row],[Faturamento_Bruto]]-tbVendas[[#This Row],[Valor_Desconto]]</f>
        <v>2520</v>
      </c>
      <c r="P54" s="2" t="str">
        <f>IF(tbVendas[[#This Row],[Faturamento_Liquido]]&gt;=2000,"Alto Valor","Regular")</f>
        <v>Alto Valor</v>
      </c>
    </row>
    <row r="55" spans="1:16">
      <c r="A55" s="12">
        <v>46189</v>
      </c>
      <c r="B55" s="13">
        <f>DATE(YEAR(tbVendas[[#This Row],[Data]]),MONTH(tbVendas[[#This Row],[Data]]),1)</f>
        <v>46174</v>
      </c>
      <c r="C55" s="2" t="s">
        <v>86</v>
      </c>
      <c r="D55" s="2" t="s">
        <v>31</v>
      </c>
      <c r="E55" s="2" t="s">
        <v>32</v>
      </c>
      <c r="F55" s="2" t="s">
        <v>19</v>
      </c>
      <c r="G55" s="2" t="s">
        <v>53</v>
      </c>
      <c r="H55" s="2">
        <v>2</v>
      </c>
      <c r="I55" s="14">
        <v>0.1</v>
      </c>
      <c r="J55" s="2" t="str">
        <f>_xlfn.XLOOKUP(tbVendas[[#This Row],[SKU]],tbProdutos[SKU],tbProdutos[Produto])</f>
        <v>Mouse Wireless</v>
      </c>
      <c r="K55" s="2" t="str">
        <f>_xlfn.XLOOKUP(tbVendas[[#This Row],[SKU]],tbProdutos[SKU],tbProdutos[Categoria])</f>
        <v>Acessórios</v>
      </c>
      <c r="L55" s="3">
        <f>_xlfn.XLOOKUP(tbVendas[[#This Row],[SKU]],tbProdutos[SKU],tbProdutos[Preco_Unitario])</f>
        <v>95</v>
      </c>
      <c r="M55" s="3">
        <f>tbVendas[[#This Row],[Quantidade]]*tbVendas[[#This Row],[Preco_Unitario]]</f>
        <v>190</v>
      </c>
      <c r="N55" s="3">
        <f>tbVendas[[#This Row],[Faturamento_Bruto]]*tbVendas[[#This Row],[Desconto_Pct]]</f>
        <v>19</v>
      </c>
      <c r="O55" s="3">
        <f>tbVendas[[#This Row],[Faturamento_Bruto]]-tbVendas[[#This Row],[Valor_Desconto]]</f>
        <v>171</v>
      </c>
      <c r="P55" s="2" t="str">
        <f>IF(tbVendas[[#This Row],[Faturamento_Liquido]]&gt;=2000,"Alto Valor","Regular")</f>
        <v>Regular</v>
      </c>
    </row>
    <row r="56" spans="1:16">
      <c r="A56" s="12">
        <v>46189</v>
      </c>
      <c r="B56" s="13">
        <f>DATE(YEAR(tbVendas[[#This Row],[Data]]),MONTH(tbVendas[[#This Row],[Data]]),1)</f>
        <v>46174</v>
      </c>
      <c r="C56" s="2" t="s">
        <v>87</v>
      </c>
      <c r="D56" s="2" t="s">
        <v>22</v>
      </c>
      <c r="E56" s="2" t="s">
        <v>23</v>
      </c>
      <c r="F56" s="2" t="s">
        <v>19</v>
      </c>
      <c r="G56" s="2" t="s">
        <v>27</v>
      </c>
      <c r="H56" s="2">
        <v>1</v>
      </c>
      <c r="I56" s="14">
        <v>0.1</v>
      </c>
      <c r="J56" s="2" t="str">
        <f>_xlfn.XLOOKUP(tbVendas[[#This Row],[SKU]],tbProdutos[SKU],tbProdutos[Produto])</f>
        <v>Headset Pro</v>
      </c>
      <c r="K56" s="2" t="str">
        <f>_xlfn.XLOOKUP(tbVendas[[#This Row],[SKU]],tbProdutos[SKU],tbProdutos[Categoria])</f>
        <v>Acessórios</v>
      </c>
      <c r="L56" s="3">
        <f>_xlfn.XLOOKUP(tbVendas[[#This Row],[SKU]],tbProdutos[SKU],tbProdutos[Preco_Unitario])</f>
        <v>220</v>
      </c>
      <c r="M56" s="3">
        <f>tbVendas[[#This Row],[Quantidade]]*tbVendas[[#This Row],[Preco_Unitario]]</f>
        <v>220</v>
      </c>
      <c r="N56" s="3">
        <f>tbVendas[[#This Row],[Faturamento_Bruto]]*tbVendas[[#This Row],[Desconto_Pct]]</f>
        <v>22</v>
      </c>
      <c r="O56" s="3">
        <f>tbVendas[[#This Row],[Faturamento_Bruto]]-tbVendas[[#This Row],[Valor_Desconto]]</f>
        <v>198</v>
      </c>
      <c r="P56" s="2" t="str">
        <f>IF(tbVendas[[#This Row],[Faturamento_Liquido]]&gt;=2000,"Alto Valor","Regular")</f>
        <v>Regular</v>
      </c>
    </row>
    <row r="57" spans="1:16">
      <c r="A57" s="12">
        <v>46197</v>
      </c>
      <c r="B57" s="13">
        <f>DATE(YEAR(tbVendas[[#This Row],[Data]]),MONTH(tbVendas[[#This Row],[Data]]),1)</f>
        <v>46174</v>
      </c>
      <c r="C57" s="2" t="s">
        <v>88</v>
      </c>
      <c r="D57" s="2" t="s">
        <v>31</v>
      </c>
      <c r="E57" s="2" t="s">
        <v>32</v>
      </c>
      <c r="F57" s="2" t="s">
        <v>36</v>
      </c>
      <c r="G57" s="2" t="s">
        <v>29</v>
      </c>
      <c r="H57" s="2">
        <v>1</v>
      </c>
      <c r="I57" s="14">
        <v>0</v>
      </c>
      <c r="J57" s="2" t="str">
        <f>_xlfn.XLOOKUP(tbVendas[[#This Row],[SKU]],tbProdutos[SKU],tbProdutos[Produto])</f>
        <v>Mesa Compacta</v>
      </c>
      <c r="K57" s="2" t="str">
        <f>_xlfn.XLOOKUP(tbVendas[[#This Row],[SKU]],tbProdutos[SKU],tbProdutos[Categoria])</f>
        <v>Escritório</v>
      </c>
      <c r="L57" s="3">
        <f>_xlfn.XLOOKUP(tbVendas[[#This Row],[SKU]],tbProdutos[SKU],tbProdutos[Preco_Unitario])</f>
        <v>520</v>
      </c>
      <c r="M57" s="3">
        <f>tbVendas[[#This Row],[Quantidade]]*tbVendas[[#This Row],[Preco_Unitario]]</f>
        <v>520</v>
      </c>
      <c r="N57" s="3">
        <f>tbVendas[[#This Row],[Faturamento_Bruto]]*tbVendas[[#This Row],[Desconto_Pct]]</f>
        <v>0</v>
      </c>
      <c r="O57" s="3">
        <f>tbVendas[[#This Row],[Faturamento_Bruto]]-tbVendas[[#This Row],[Valor_Desconto]]</f>
        <v>520</v>
      </c>
      <c r="P57" s="2" t="str">
        <f>IF(tbVendas[[#This Row],[Faturamento_Liquido]]&gt;=2000,"Alto Valor","Regular")</f>
        <v>Regular</v>
      </c>
    </row>
    <row r="58" spans="1:16">
      <c r="A58" s="12">
        <v>46198</v>
      </c>
      <c r="B58" s="13">
        <f>DATE(YEAR(tbVendas[[#This Row],[Data]]),MONTH(tbVendas[[#This Row],[Data]]),1)</f>
        <v>46174</v>
      </c>
      <c r="C58" s="2" t="s">
        <v>89</v>
      </c>
      <c r="D58" s="2" t="s">
        <v>22</v>
      </c>
      <c r="E58" s="2" t="s">
        <v>23</v>
      </c>
      <c r="F58" s="2" t="s">
        <v>24</v>
      </c>
      <c r="G58" s="2" t="s">
        <v>29</v>
      </c>
      <c r="H58" s="2">
        <v>5</v>
      </c>
      <c r="I58" s="14">
        <v>0</v>
      </c>
      <c r="J58" s="2" t="str">
        <f>_xlfn.XLOOKUP(tbVendas[[#This Row],[SKU]],tbProdutos[SKU],tbProdutos[Produto])</f>
        <v>Mesa Compacta</v>
      </c>
      <c r="K58" s="2" t="str">
        <f>_xlfn.XLOOKUP(tbVendas[[#This Row],[SKU]],tbProdutos[SKU],tbProdutos[Categoria])</f>
        <v>Escritório</v>
      </c>
      <c r="L58" s="3">
        <f>_xlfn.XLOOKUP(tbVendas[[#This Row],[SKU]],tbProdutos[SKU],tbProdutos[Preco_Unitario])</f>
        <v>520</v>
      </c>
      <c r="M58" s="3">
        <f>tbVendas[[#This Row],[Quantidade]]*tbVendas[[#This Row],[Preco_Unitario]]</f>
        <v>2600</v>
      </c>
      <c r="N58" s="3">
        <f>tbVendas[[#This Row],[Faturamento_Bruto]]*tbVendas[[#This Row],[Desconto_Pct]]</f>
        <v>0</v>
      </c>
      <c r="O58" s="3">
        <f>tbVendas[[#This Row],[Faturamento_Bruto]]-tbVendas[[#This Row],[Valor_Desconto]]</f>
        <v>2600</v>
      </c>
      <c r="P58" s="2" t="str">
        <f>IF(tbVendas[[#This Row],[Faturamento_Liquido]]&gt;=2000,"Alto Valor","Regular")</f>
        <v>Alto Valor</v>
      </c>
    </row>
    <row r="59" spans="1:16">
      <c r="A59" s="12">
        <v>46199</v>
      </c>
      <c r="B59" s="13">
        <f>DATE(YEAR(tbVendas[[#This Row],[Data]]),MONTH(tbVendas[[#This Row],[Data]]),1)</f>
        <v>46174</v>
      </c>
      <c r="C59" s="2" t="s">
        <v>90</v>
      </c>
      <c r="D59" s="2" t="s">
        <v>22</v>
      </c>
      <c r="E59" s="2" t="s">
        <v>23</v>
      </c>
      <c r="F59" s="2" t="s">
        <v>36</v>
      </c>
      <c r="G59" s="2" t="s">
        <v>29</v>
      </c>
      <c r="H59" s="2">
        <v>1</v>
      </c>
      <c r="I59" s="14">
        <v>0.05</v>
      </c>
      <c r="J59" s="2" t="str">
        <f>_xlfn.XLOOKUP(tbVendas[[#This Row],[SKU]],tbProdutos[SKU],tbProdutos[Produto])</f>
        <v>Mesa Compacta</v>
      </c>
      <c r="K59" s="2" t="str">
        <f>_xlfn.XLOOKUP(tbVendas[[#This Row],[SKU]],tbProdutos[SKU],tbProdutos[Categoria])</f>
        <v>Escritório</v>
      </c>
      <c r="L59" s="3">
        <f>_xlfn.XLOOKUP(tbVendas[[#This Row],[SKU]],tbProdutos[SKU],tbProdutos[Preco_Unitario])</f>
        <v>520</v>
      </c>
      <c r="M59" s="3">
        <f>tbVendas[[#This Row],[Quantidade]]*tbVendas[[#This Row],[Preco_Unitario]]</f>
        <v>520</v>
      </c>
      <c r="N59" s="3">
        <f>tbVendas[[#This Row],[Faturamento_Bruto]]*tbVendas[[#This Row],[Desconto_Pct]]</f>
        <v>26</v>
      </c>
      <c r="O59" s="3">
        <f>tbVendas[[#This Row],[Faturamento_Bruto]]-tbVendas[[#This Row],[Valor_Desconto]]</f>
        <v>494</v>
      </c>
      <c r="P59" s="2" t="str">
        <f>IF(tbVendas[[#This Row],[Faturamento_Liquido]]&gt;=2000,"Alto Valor","Regular")</f>
        <v>Regular</v>
      </c>
    </row>
    <row r="60" spans="1:16">
      <c r="A60" s="12">
        <v>46199</v>
      </c>
      <c r="B60" s="13">
        <f>DATE(YEAR(tbVendas[[#This Row],[Data]]),MONTH(tbVendas[[#This Row],[Data]]),1)</f>
        <v>46174</v>
      </c>
      <c r="C60" s="2" t="s">
        <v>91</v>
      </c>
      <c r="D60" s="2" t="s">
        <v>31</v>
      </c>
      <c r="E60" s="2" t="s">
        <v>32</v>
      </c>
      <c r="F60" s="2" t="s">
        <v>36</v>
      </c>
      <c r="G60" s="2" t="s">
        <v>29</v>
      </c>
      <c r="H60" s="2">
        <v>1</v>
      </c>
      <c r="I60" s="14">
        <v>0.1</v>
      </c>
      <c r="J60" s="2" t="str">
        <f>_xlfn.XLOOKUP(tbVendas[[#This Row],[SKU]],tbProdutos[SKU],tbProdutos[Produto])</f>
        <v>Mesa Compacta</v>
      </c>
      <c r="K60" s="2" t="str">
        <f>_xlfn.XLOOKUP(tbVendas[[#This Row],[SKU]],tbProdutos[SKU],tbProdutos[Categoria])</f>
        <v>Escritório</v>
      </c>
      <c r="L60" s="3">
        <f>_xlfn.XLOOKUP(tbVendas[[#This Row],[SKU]],tbProdutos[SKU],tbProdutos[Preco_Unitario])</f>
        <v>520</v>
      </c>
      <c r="M60" s="3">
        <f>tbVendas[[#This Row],[Quantidade]]*tbVendas[[#This Row],[Preco_Unitario]]</f>
        <v>520</v>
      </c>
      <c r="N60" s="3">
        <f>tbVendas[[#This Row],[Faturamento_Bruto]]*tbVendas[[#This Row],[Desconto_Pct]]</f>
        <v>52</v>
      </c>
      <c r="O60" s="3">
        <f>tbVendas[[#This Row],[Faturamento_Bruto]]-tbVendas[[#This Row],[Valor_Desconto]]</f>
        <v>468</v>
      </c>
      <c r="P60" s="2" t="str">
        <f>IF(tbVendas[[#This Row],[Faturamento_Liquido]]&gt;=2000,"Alto Valor","Regular")</f>
        <v>Regular</v>
      </c>
    </row>
    <row r="61" spans="1:16">
      <c r="A61" s="12">
        <v>46200</v>
      </c>
      <c r="B61" s="13">
        <f>DATE(YEAR(tbVendas[[#This Row],[Data]]),MONTH(tbVendas[[#This Row],[Data]]),1)</f>
        <v>46174</v>
      </c>
      <c r="C61" s="2" t="s">
        <v>92</v>
      </c>
      <c r="D61" s="2" t="s">
        <v>31</v>
      </c>
      <c r="E61" s="2" t="s">
        <v>32</v>
      </c>
      <c r="F61" s="2" t="s">
        <v>36</v>
      </c>
      <c r="G61" s="2" t="s">
        <v>27</v>
      </c>
      <c r="H61" s="2">
        <v>1</v>
      </c>
      <c r="I61" s="14">
        <v>0.05</v>
      </c>
      <c r="J61" s="2" t="str">
        <f>_xlfn.XLOOKUP(tbVendas[[#This Row],[SKU]],tbProdutos[SKU],tbProdutos[Produto])</f>
        <v>Headset Pro</v>
      </c>
      <c r="K61" s="2" t="str">
        <f>_xlfn.XLOOKUP(tbVendas[[#This Row],[SKU]],tbProdutos[SKU],tbProdutos[Categoria])</f>
        <v>Acessórios</v>
      </c>
      <c r="L61" s="3">
        <f>_xlfn.XLOOKUP(tbVendas[[#This Row],[SKU]],tbProdutos[SKU],tbProdutos[Preco_Unitario])</f>
        <v>220</v>
      </c>
      <c r="M61" s="3">
        <f>tbVendas[[#This Row],[Quantidade]]*tbVendas[[#This Row],[Preco_Unitario]]</f>
        <v>220</v>
      </c>
      <c r="N61" s="3">
        <f>tbVendas[[#This Row],[Faturamento_Bruto]]*tbVendas[[#This Row],[Desconto_Pct]]</f>
        <v>11</v>
      </c>
      <c r="O61" s="3">
        <f>tbVendas[[#This Row],[Faturamento_Bruto]]-tbVendas[[#This Row],[Valor_Desconto]]</f>
        <v>209</v>
      </c>
      <c r="P61" s="2" t="str">
        <f>IF(tbVendas[[#This Row],[Faturamento_Liquido]]&gt;=2000,"Alto Valor","Regular")</f>
        <v>Regular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showGridLines="0" zoomScaleNormal="100" zoomScaleSheetLayoutView="100" workbookViewId="0">
      <selection activeCell="F17" sqref="F17"/>
    </sheetView>
  </sheetViews>
  <sheetFormatPr defaultRowHeight="15"/>
  <cols>
    <col min="1" max="1" width="10" customWidth="1"/>
    <col min="2" max="2" width="20" customWidth="1"/>
    <col min="3" max="3" width="16" customWidth="1"/>
    <col min="4" max="4" width="15" customWidth="1"/>
  </cols>
  <sheetData>
    <row r="1" spans="1:4">
      <c r="A1" s="1" t="s">
        <v>6</v>
      </c>
      <c r="B1" s="1" t="s">
        <v>9</v>
      </c>
      <c r="C1" s="1" t="s">
        <v>10</v>
      </c>
      <c r="D1" s="1" t="s">
        <v>11</v>
      </c>
    </row>
    <row r="2" spans="1:4">
      <c r="A2" t="s">
        <v>25</v>
      </c>
      <c r="B2" t="s">
        <v>93</v>
      </c>
      <c r="C2" t="s">
        <v>94</v>
      </c>
      <c r="D2" s="15">
        <v>2800</v>
      </c>
    </row>
    <row r="3" spans="1:4">
      <c r="A3" t="s">
        <v>20</v>
      </c>
      <c r="B3" t="s">
        <v>95</v>
      </c>
      <c r="C3" t="s">
        <v>94</v>
      </c>
      <c r="D3" s="15">
        <v>850</v>
      </c>
    </row>
    <row r="4" spans="1:4">
      <c r="A4" t="s">
        <v>27</v>
      </c>
      <c r="B4" t="s">
        <v>96</v>
      </c>
      <c r="C4" t="s">
        <v>97</v>
      </c>
      <c r="D4" s="15">
        <v>220</v>
      </c>
    </row>
    <row r="5" spans="1:4">
      <c r="A5" t="s">
        <v>53</v>
      </c>
      <c r="B5" t="s">
        <v>98</v>
      </c>
      <c r="C5" t="s">
        <v>97</v>
      </c>
      <c r="D5" s="15">
        <v>95</v>
      </c>
    </row>
    <row r="6" spans="1:4">
      <c r="A6" t="s">
        <v>50</v>
      </c>
      <c r="B6" t="s">
        <v>99</v>
      </c>
      <c r="C6" t="s">
        <v>100</v>
      </c>
      <c r="D6" s="15">
        <v>690</v>
      </c>
    </row>
    <row r="7" spans="1:4">
      <c r="A7" t="s">
        <v>29</v>
      </c>
      <c r="B7" t="s">
        <v>101</v>
      </c>
      <c r="C7" t="s">
        <v>100</v>
      </c>
      <c r="D7" s="15">
        <v>520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327B-F84F-4137-88BE-00E1A1D810A9}">
  <dimension ref="A1:C19"/>
  <sheetViews>
    <sheetView showGridLines="0" workbookViewId="0">
      <selection activeCell="E27" sqref="E27"/>
    </sheetView>
  </sheetViews>
  <sheetFormatPr defaultRowHeight="14.25"/>
  <cols>
    <col min="1" max="1" width="13.75" customWidth="1"/>
    <col min="2" max="2" width="14.625" customWidth="1"/>
  </cols>
  <sheetData>
    <row r="1" spans="1:3" ht="15">
      <c r="A1" s="5" t="s">
        <v>102</v>
      </c>
      <c r="B1" s="5"/>
      <c r="C1" s="5"/>
    </row>
    <row r="2" spans="1:3" ht="15">
      <c r="A2" s="9" t="s">
        <v>103</v>
      </c>
      <c r="B2" s="9" t="s">
        <v>104</v>
      </c>
      <c r="C2" s="9" t="s">
        <v>105</v>
      </c>
    </row>
    <row r="3" spans="1:3" ht="15">
      <c r="A3" s="8" t="s">
        <v>18</v>
      </c>
      <c r="B3" s="7">
        <f>SUMIFS(tbVendas[Faturamento_Liquido],tbVendas[Regiao],Analise_Formulas!A3)</f>
        <v>37318.25</v>
      </c>
      <c r="C3" s="6">
        <f>COUNTIFS(tbVendas[Regiao],Analise_Formulas!A3)</f>
        <v>15</v>
      </c>
    </row>
    <row r="4" spans="1:3" ht="15">
      <c r="A4" s="8" t="s">
        <v>23</v>
      </c>
      <c r="B4" s="7">
        <f>SUMIFS(tbVendas[Faturamento_Liquido],tbVendas[Regiao],Analise_Formulas!A4)</f>
        <v>26193.5</v>
      </c>
      <c r="C4" s="6">
        <f>COUNTIFS(tbVendas[Regiao],Analise_Formulas!A4)</f>
        <v>15</v>
      </c>
    </row>
    <row r="5" spans="1:3" ht="15">
      <c r="A5" s="8" t="s">
        <v>32</v>
      </c>
      <c r="B5" s="7">
        <f>SUMIFS(tbVendas[Faturamento_Liquido],tbVendas[Regiao],Analise_Formulas!A5)</f>
        <v>31924</v>
      </c>
      <c r="C5" s="6">
        <f>COUNTIFS(tbVendas[Regiao],Analise_Formulas!A5)</f>
        <v>15</v>
      </c>
    </row>
    <row r="6" spans="1:3" ht="15">
      <c r="A6" s="8" t="s">
        <v>41</v>
      </c>
      <c r="B6" s="7">
        <f>SUMIFS(tbVendas[Faturamento_Liquido],tbVendas[Regiao],Analise_Formulas!A6)</f>
        <v>38326.5</v>
      </c>
      <c r="C6" s="6">
        <f>COUNTIFS(tbVendas[Regiao],Analise_Formulas!A6)</f>
        <v>15</v>
      </c>
    </row>
    <row r="8" spans="1:3" ht="15">
      <c r="A8" s="5" t="s">
        <v>106</v>
      </c>
      <c r="B8" s="5"/>
      <c r="C8" s="5"/>
    </row>
    <row r="9" spans="1:3" ht="15">
      <c r="A9" s="9" t="s">
        <v>3</v>
      </c>
      <c r="B9" s="9" t="s">
        <v>104</v>
      </c>
      <c r="C9" s="9" t="s">
        <v>105</v>
      </c>
    </row>
    <row r="10" spans="1:3" ht="15">
      <c r="A10" s="8" t="s">
        <v>17</v>
      </c>
      <c r="B10" s="7">
        <f>SUMIFS(tbVendas[Faturamento_Liquido],tbVendas[Vendedor],Analise_Formulas!A10)</f>
        <v>37318.25</v>
      </c>
      <c r="C10" s="6">
        <f>COUNTIFS(tbVendas[Vendedor],Analise_Formulas!A10)</f>
        <v>15</v>
      </c>
    </row>
    <row r="11" spans="1:3" ht="15">
      <c r="A11" s="8" t="s">
        <v>22</v>
      </c>
      <c r="B11" s="7">
        <f>SUMIFS(tbVendas[Faturamento_Liquido],tbVendas[Vendedor],Analise_Formulas!A11)</f>
        <v>26193.5</v>
      </c>
      <c r="C11" s="6">
        <f>COUNTIFS(tbVendas[Vendedor],Analise_Formulas!A11)</f>
        <v>15</v>
      </c>
    </row>
    <row r="12" spans="1:3" ht="15">
      <c r="A12" s="8" t="s">
        <v>31</v>
      </c>
      <c r="B12" s="7">
        <f>SUMIFS(tbVendas[Faturamento_Liquido],tbVendas[Vendedor],Analise_Formulas!A12)</f>
        <v>31924</v>
      </c>
      <c r="C12" s="6">
        <f>COUNTIFS(tbVendas[Vendedor],Analise_Formulas!A12)</f>
        <v>15</v>
      </c>
    </row>
    <row r="13" spans="1:3" ht="15">
      <c r="A13" s="8" t="s">
        <v>40</v>
      </c>
      <c r="B13" s="7">
        <f>SUMIFS(tbVendas[Faturamento_Liquido],tbVendas[Vendedor],Analise_Formulas!A13)</f>
        <v>38326.5</v>
      </c>
      <c r="C13" s="6">
        <f>COUNTIFS(tbVendas[Vendedor],Analise_Formulas!A13)</f>
        <v>15</v>
      </c>
    </row>
    <row r="15" spans="1:3" ht="15">
      <c r="A15" s="5" t="s">
        <v>107</v>
      </c>
      <c r="B15" s="5"/>
      <c r="C15" s="5"/>
    </row>
    <row r="16" spans="1:3" ht="15">
      <c r="A16" s="9" t="s">
        <v>10</v>
      </c>
      <c r="B16" s="9" t="s">
        <v>104</v>
      </c>
      <c r="C16" s="9" t="s">
        <v>105</v>
      </c>
    </row>
    <row r="17" spans="1:3" ht="15">
      <c r="A17" s="8" t="s">
        <v>94</v>
      </c>
      <c r="B17" s="7">
        <f>SUMIFS(tbVendas[Faturamento_Liquido],tbVendas[Categoria],Analise_Formulas!A17)</f>
        <v>103255</v>
      </c>
      <c r="C17" s="6">
        <f>COUNTIFS(tbVendas[Categoria],Analise_Formulas!A17)</f>
        <v>25</v>
      </c>
    </row>
    <row r="18" spans="1:3" ht="15">
      <c r="A18" s="8" t="s">
        <v>97</v>
      </c>
      <c r="B18" s="7">
        <f>SUMIFS(tbVendas[Faturamento_Liquido],tbVendas[Categoria],Analise_Formulas!A18)</f>
        <v>9550.75</v>
      </c>
      <c r="C18" s="6">
        <f>COUNTIFS(tbVendas[Categoria],Analise_Formulas!A18)</f>
        <v>20</v>
      </c>
    </row>
    <row r="19" spans="1:3" ht="15">
      <c r="A19" s="8" t="s">
        <v>100</v>
      </c>
      <c r="B19" s="7">
        <f>SUMIFS(tbVendas[Faturamento_Liquido],tbVendas[Categoria],Analise_Formulas!A19)</f>
        <v>20956.5</v>
      </c>
      <c r="C19" s="6">
        <f>COUNTIFS(tbVendas[Categoria],Analise_Formulas!A19)</f>
        <v>15</v>
      </c>
    </row>
  </sheetData>
  <mergeCells count="3">
    <mergeCell ref="A1:C1"/>
    <mergeCell ref="A8:C8"/>
    <mergeCell ref="A15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ED0C-4E8C-42AB-A1FD-868E735BE9A7}">
  <dimension ref="A1:B28"/>
  <sheetViews>
    <sheetView showGridLines="0" workbookViewId="0">
      <selection activeCell="D6" sqref="D6"/>
    </sheetView>
  </sheetViews>
  <sheetFormatPr defaultRowHeight="14.25"/>
  <cols>
    <col min="1" max="1" width="12.125" bestFit="1" customWidth="1"/>
    <col min="2" max="2" width="28.375" bestFit="1" customWidth="1"/>
    <col min="3" max="21" width="10.75" bestFit="1" customWidth="1"/>
    <col min="22" max="46" width="12.375" bestFit="1" customWidth="1"/>
    <col min="47" max="49" width="13.5" bestFit="1" customWidth="1"/>
    <col min="50" max="50" width="11.75" bestFit="1" customWidth="1"/>
  </cols>
  <sheetData>
    <row r="1" spans="1:2">
      <c r="A1" s="10" t="s">
        <v>4</v>
      </c>
      <c r="B1" t="s">
        <v>108</v>
      </c>
    </row>
    <row r="2" spans="1:2">
      <c r="A2" t="s">
        <v>32</v>
      </c>
      <c r="B2" s="4">
        <v>31924</v>
      </c>
    </row>
    <row r="3" spans="1:2">
      <c r="A3" t="s">
        <v>23</v>
      </c>
      <c r="B3" s="4">
        <v>26193.5</v>
      </c>
    </row>
    <row r="4" spans="1:2">
      <c r="A4" t="s">
        <v>41</v>
      </c>
      <c r="B4" s="4">
        <v>38326.5</v>
      </c>
    </row>
    <row r="5" spans="1:2">
      <c r="A5" t="s">
        <v>18</v>
      </c>
      <c r="B5" s="4">
        <v>37318.25</v>
      </c>
    </row>
    <row r="6" spans="1:2">
      <c r="A6" t="s">
        <v>109</v>
      </c>
      <c r="B6" s="4">
        <v>133762.25</v>
      </c>
    </row>
    <row r="8" spans="1:2">
      <c r="A8" s="10" t="s">
        <v>3</v>
      </c>
      <c r="B8" t="s">
        <v>108</v>
      </c>
    </row>
    <row r="9" spans="1:2">
      <c r="A9" t="s">
        <v>40</v>
      </c>
      <c r="B9" s="4">
        <v>38326.5</v>
      </c>
    </row>
    <row r="10" spans="1:2">
      <c r="A10" t="s">
        <v>31</v>
      </c>
      <c r="B10" s="4">
        <v>31924</v>
      </c>
    </row>
    <row r="11" spans="1:2">
      <c r="A11" t="s">
        <v>22</v>
      </c>
      <c r="B11" s="4">
        <v>26193.5</v>
      </c>
    </row>
    <row r="12" spans="1:2">
      <c r="A12" t="s">
        <v>17</v>
      </c>
      <c r="B12" s="4">
        <v>37318.25</v>
      </c>
    </row>
    <row r="13" spans="1:2">
      <c r="A13" t="s">
        <v>109</v>
      </c>
      <c r="B13" s="4">
        <v>133762.25</v>
      </c>
    </row>
    <row r="15" spans="1:2">
      <c r="A15" s="10" t="s">
        <v>10</v>
      </c>
      <c r="B15" t="s">
        <v>108</v>
      </c>
    </row>
    <row r="16" spans="1:2">
      <c r="A16" t="s">
        <v>97</v>
      </c>
      <c r="B16" s="4">
        <v>9550.75</v>
      </c>
    </row>
    <row r="17" spans="1:2">
      <c r="A17" t="s">
        <v>100</v>
      </c>
      <c r="B17" s="4">
        <v>20956.5</v>
      </c>
    </row>
    <row r="18" spans="1:2">
      <c r="A18" t="s">
        <v>94</v>
      </c>
      <c r="B18" s="4">
        <v>103255</v>
      </c>
    </row>
    <row r="19" spans="1:2">
      <c r="A19" t="s">
        <v>109</v>
      </c>
      <c r="B19" s="4">
        <v>133762.25</v>
      </c>
    </row>
    <row r="21" spans="1:2">
      <c r="A21" s="10" t="s">
        <v>1</v>
      </c>
      <c r="B21" t="s">
        <v>108</v>
      </c>
    </row>
    <row r="22" spans="1:2">
      <c r="A22" s="11" t="s">
        <v>110</v>
      </c>
      <c r="B22" s="4">
        <v>59176.5</v>
      </c>
    </row>
    <row r="23" spans="1:2">
      <c r="A23" s="11" t="s">
        <v>111</v>
      </c>
      <c r="B23" s="4">
        <v>8875.5</v>
      </c>
    </row>
    <row r="24" spans="1:2">
      <c r="A24" s="11" t="s">
        <v>112</v>
      </c>
      <c r="B24" s="4">
        <v>15086.75</v>
      </c>
    </row>
    <row r="25" spans="1:2">
      <c r="A25" s="11" t="s">
        <v>113</v>
      </c>
      <c r="B25" s="4">
        <v>22500.75</v>
      </c>
    </row>
    <row r="26" spans="1:2">
      <c r="A26" s="11" t="s">
        <v>114</v>
      </c>
      <c r="B26" s="4">
        <v>11841.5</v>
      </c>
    </row>
    <row r="27" spans="1:2">
      <c r="A27" s="11" t="s">
        <v>115</v>
      </c>
      <c r="B27" s="4">
        <v>16281.25</v>
      </c>
    </row>
    <row r="28" spans="1:2">
      <c r="A28" t="s">
        <v>109</v>
      </c>
      <c r="B28" s="4">
        <v>133762.25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DCB5-7865-426F-A1EC-094645FF7EA2}">
  <dimension ref="A1"/>
  <sheetViews>
    <sheetView showGridLines="0" workbookViewId="0">
      <selection activeCell="V9" sqref="V9"/>
    </sheetView>
  </sheetViews>
  <sheetFormatPr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otavio martins</cp:lastModifiedBy>
  <cp:revision/>
  <dcterms:created xsi:type="dcterms:W3CDTF">2026-08-15T01:33:13Z</dcterms:created>
  <dcterms:modified xsi:type="dcterms:W3CDTF">2026-08-15T01:33:13Z</dcterms:modified>
  <cp:category/>
  <cp:contentStatus/>
</cp:coreProperties>
</file>